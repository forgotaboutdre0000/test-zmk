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\Documents\"/>
    </mc:Choice>
  </mc:AlternateContent>
  <bookViews>
    <workbookView xWindow="0" yWindow="0" windowWidth="2370" windowHeight="0"/>
  </bookViews>
  <sheets>
    <sheet name="Лист1" sheetId="1" r:id="rId1"/>
    <sheet name="Лист2" sheetId="2" r:id="rId2"/>
  </sheets>
  <definedNames>
    <definedName name="_xlnm._FilterDatabase" localSheetId="0" hidden="1">Лист1!$B$1:$B$42</definedName>
    <definedName name="_xlnm._FilterDatabase" localSheetId="1" hidden="1">Лист2!$A$1:$A$57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G2" i="1"/>
  <c r="F2" i="1"/>
  <c r="F25" i="1" l="1"/>
  <c r="H2" i="1"/>
  <c r="H25" i="1" l="1"/>
</calcChain>
</file>

<file path=xl/sharedStrings.xml><?xml version="1.0" encoding="utf-8"?>
<sst xmlns="http://schemas.openxmlformats.org/spreadsheetml/2006/main" count="100" uniqueCount="86">
  <si>
    <t>кол-во опор</t>
  </si>
  <si>
    <t>вес опоры</t>
  </si>
  <si>
    <t>цена за кг</t>
  </si>
  <si>
    <t xml:space="preserve">общий вес </t>
  </si>
  <si>
    <t>общая стоимость</t>
  </si>
  <si>
    <t>цена за шт</t>
  </si>
  <si>
    <t>Масса общая</t>
  </si>
  <si>
    <t>Сумма общая</t>
  </si>
  <si>
    <t>Срок изготовления, рабочих дней.</t>
  </si>
  <si>
    <t>Покрытие:</t>
  </si>
  <si>
    <t>транспортиро-вочный грунт</t>
  </si>
  <si>
    <t>Ориентировочный вес поставки, с учётом упаковки, кг.</t>
  </si>
  <si>
    <t>Материал изделий:</t>
  </si>
  <si>
    <t xml:space="preserve">Метизы: </t>
  </si>
  <si>
    <t>Упаковка:</t>
  </si>
  <si>
    <t>Способ доставки:</t>
  </si>
  <si>
    <t>Самовывоз (верхняя погрузка)</t>
  </si>
  <si>
    <t>Условия оплаты:</t>
  </si>
  <si>
    <t>Предоплата - 70%, окончательная оплата - 30% в течении 3-х банковских дней от даты уведомления о готовности продукции к отгрузке. Отгрузка производится при 100% оплате продукции.</t>
  </si>
  <si>
    <t>Коммерческое предложение действительно в течении, дней:</t>
  </si>
  <si>
    <t>Опора 039 СТО 79814898 132-2009</t>
  </si>
  <si>
    <t>Опора 044 СТО 79814898 132-2009</t>
  </si>
  <si>
    <t>Опора 035 СТО 79814898 131-2009</t>
  </si>
  <si>
    <t>Опора 036 СТО 79814898 131-2009</t>
  </si>
  <si>
    <t>Опора 103 СТО 79814898 131-2009</t>
  </si>
  <si>
    <t>Опора 104 СТО 79814898 131-2009</t>
  </si>
  <si>
    <t>Опора 111 СТО 79814898 131-2009</t>
  </si>
  <si>
    <t>Опора 112 СТО 79814898 131-2009</t>
  </si>
  <si>
    <t>Опора 137 СТО 79814898 131-2009</t>
  </si>
  <si>
    <t>Опора 138 СТО 79814898 131-2009</t>
  </si>
  <si>
    <t>5000 кг</t>
  </si>
  <si>
    <t>кл.пр 4.6…5.8 (ГОСТ 7798; ГОСТ 5915)оцинкованные</t>
  </si>
  <si>
    <t>увязка на поддоне( 13 мест)</t>
  </si>
  <si>
    <t>3 дня</t>
  </si>
  <si>
    <t xml:space="preserve"> Опора  137 СТО 79814898 131-2009  Support 137 STO 79814898 131-2009 10PCB01BQ003</t>
  </si>
  <si>
    <t>Опора  137 СТО 79814898 131-2009 Support 137 STO 79814898 131-2009 10PCB01BQ012</t>
  </si>
  <si>
    <t>Опора 035 СТО 79814898 131-2009 Support 035 STO 79814898 131-2009 10PCB01BQ006</t>
  </si>
  <si>
    <t>Опора 035 СТО 79814898 131-2009 Support 035 STO 79814898 131-2009 10PCB01BQ015</t>
  </si>
  <si>
    <t>Опора 035 СТО 79814898 131-2009 Support 035 STO 79814898 131-2009 10PCB01BQ016</t>
  </si>
  <si>
    <t>Опора 036 СТО 79814898 131-2009 Support 036 STO 79814898 131-2009 10PGB01BQ010</t>
  </si>
  <si>
    <t>Опора 036 СТО 79814898 131-2009 Support 036 STO 79814898 131-2009 10PGB01BQ011</t>
  </si>
  <si>
    <t>Опора 039 СТО 79814898 132-2009 Support 039STO 79814898 132-2009 10PCB00BQ001</t>
  </si>
  <si>
    <t>Опора 039 СТО 79814898 132-2009 Support 039STO 79814898 132-2009 10PCB01BQ005</t>
  </si>
  <si>
    <t>Опора 039 СТО 79814898 132-2009/Support 039STO 79814898 132-2009  10PCB00BQ007</t>
  </si>
  <si>
    <t>Опора 039 СТО 79814898 132-2009/Support 039STO 79814898 132-2009  10PCB00BQ003</t>
  </si>
  <si>
    <t>Опора 039 СТО 79814898 132-2009/Support 039STO 79814898 132-2009  10PCB00BQ004</t>
  </si>
  <si>
    <t>Опора 039 СТО 79814898 132-2009/Support 039STO 79814898 132-2009 10PCB00BQ009</t>
  </si>
  <si>
    <t>Опора 039 СТО 79814898 132-2009/Support 039STO 79814898 132-2009 10PCB00BQ014</t>
  </si>
  <si>
    <t>Опора 039 СТО 79814898 132-2009/Support 039STO 79814898 132-2009 10PCB00BQ002</t>
  </si>
  <si>
    <t>Опора 039 СТО 79814898 132-2009/Support 039STO 79814898 132-2009 10PCB00BQ006</t>
  </si>
  <si>
    <t>Опора 039 СТО 79814898 132-2009/Support 039STO 79814898 132-2009 10PCB00BQ008</t>
  </si>
  <si>
    <t>Опора 044 СТО 79814898 132-2009/Support 044 STO 79814898 132-2009 10PGB00BQ006</t>
  </si>
  <si>
    <t>Опора 044 СТО 79814898 132-2009/Support 044 STO 79814898 132-2009 10PGB00BQ002</t>
  </si>
  <si>
    <t>Опора 044 СТО 79814898 132-2009/Support 044 STO 79814898 132-2009 10PGB00BQ004</t>
  </si>
  <si>
    <t>Опора 044 СТО 79814898 132-2009/Support 044 STO 79814898 132-2009 10PGB00BQ008</t>
  </si>
  <si>
    <t>Опора 044 СТО 79814898 132-2009/Support 044 STO 79814898 132-2009 10PGB00BQ001</t>
  </si>
  <si>
    <t>Опора 044 СТО 79814898 132-2009/Support 044 STO 79814898 132-2009 10PGB00BQ003</t>
  </si>
  <si>
    <t>Опора 044 СТО 79814898 132-2009/Support 044 STO 79814898 132-2009 10PGB00BQ005</t>
  </si>
  <si>
    <t>Опора 044 СТО 79814898 132-2009/Support 044 STO 79814898 132-2009 10PGB00BQ007</t>
  </si>
  <si>
    <t>Опора 103 СТО 79814898 131-2009/Support 103 STO 79814898 131-2009 10PCB01BQ001</t>
  </si>
  <si>
    <t>Опора 104 СТО 79814898 131-2009/Support 104 STO 79814898 131-200910PGB01BQ001</t>
  </si>
  <si>
    <t>Опора 111 СТО 79814898 131-2009/Support 111 STO 79814898 131-2009 10PCB01BQ010</t>
  </si>
  <si>
    <t>Опора 111 СТО 79814898 131-2009/Support 111 STO 79814898 131-2009 10PCB01BQ020</t>
  </si>
  <si>
    <t>Опора 112 СТО 79814898 131-2009/Support 112 STO 79814898 131-2009 10PGB01BQ006</t>
  </si>
  <si>
    <t>Опора 112 СТО 79814898 131-2009/Support 112 STO 79814898 131-2009</t>
  </si>
  <si>
    <t>Опора 137 СТО 79814898 131-2009/Support 137 STO 79814898 131-2009 10PCB01BQ002</t>
  </si>
  <si>
    <t>Опора 137 СТО 79814898 131-2009/Support 137 STO 79814898 131-2009 10PCB01BQ013</t>
  </si>
  <si>
    <t>Опора 137 СТО 79814898 131-2009/Support 137 STO 79814898 131-2009 10PCB01BQ011</t>
  </si>
  <si>
    <t>Опора 138 СТО 79814898 131-2009/Support 138 STO 79814898 131-2009 10PGB01BQ002</t>
  </si>
  <si>
    <t>Опора 138 СТО 79814898 131-2009/Support 138 STO 79814898 131-2009 10PGB01BQ003</t>
  </si>
  <si>
    <t>Опора 138 СТО 79814898 131-2009/Support 138 STO 79814898 131-2009 10PGB01BQ007</t>
  </si>
  <si>
    <t>Опора 138 СТО 79814898 131-2009/Support 138 STO 79814898 131-2009 10PGB01BQ008</t>
  </si>
  <si>
    <t>Опора 138 СТО 79814898 131-2009/Support 138 STO 79814898 131-2009 10PGB01BQ009</t>
  </si>
  <si>
    <t>ОСТ 34-10-615-93/OST 34-10-615-93</t>
  </si>
  <si>
    <t>ОСТ 34-10-616-93/OST 34-10-616-93</t>
  </si>
  <si>
    <t>ГОСТ 24137-80/GOST 24137-80</t>
  </si>
  <si>
    <t>Опора скользящая приварная 89У  01/Sliding welded support 89С 01 ОСТ 34-10-615-93/OST 34-10-615-93</t>
  </si>
  <si>
    <t>Опора скользящая приварная 219К 32/Sliding welded support 219S 32 ОСТ 34-10-616-93/OST 34-10-616-93</t>
  </si>
  <si>
    <t>Хомут 25-ст.3сп5 ГОСТ 24137-80/GOST 24137-80</t>
  </si>
  <si>
    <t>Опора  137 СТО 79814898 131-2009  Support 137 STO 79814898 131-2009 10PCB01BQ003</t>
  </si>
  <si>
    <t>Опора скользящая приварная 219У 31/Sliding welded support  ОСТ 34-10-616-93/OST 34-10-616-93</t>
  </si>
  <si>
    <t>Ст3сп5 ; 12Х18Н10Т( либо аналог)</t>
  </si>
  <si>
    <t>19--25</t>
  </si>
  <si>
    <t>1 шт 26</t>
  </si>
  <si>
    <t>1 шт 27</t>
  </si>
  <si>
    <t xml:space="preserve">ВОТ  ЭТИ ПОЗИЦИИ ПРИБАЛИСЬ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</si>
</sst>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164" fontId="1" fillId="0" borderId="6" xfId="0" applyNumberFormat="1" applyFont="1" applyBorder="1"/>
    <xf numFmtId="0" fontId="0" fillId="3" borderId="9" xfId="0" applyFill="1" applyBorder="1"/>
    <xf numFmtId="164" fontId="0" fillId="3" borderId="10" xfId="0" applyNumberFormat="1" applyFill="1" applyBorder="1"/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2" borderId="1" xfId="0" applyFill="1" applyBorder="1"/>
    <xf numFmtId="164" fontId="0" fillId="0" borderId="0" xfId="0" applyNumberFormat="1" applyAlignment="1">
      <alignment horizontal="center" wrapText="1"/>
    </xf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0" borderId="0" xfId="0" applyFont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164" fontId="0" fillId="2" borderId="11" xfId="0" applyNumberFormat="1" applyFill="1" applyBorder="1"/>
    <xf numFmtId="0" fontId="0" fillId="2" borderId="12" xfId="0" applyFill="1" applyBorder="1"/>
    <xf numFmtId="0" fontId="0" fillId="2" borderId="13" xfId="0" applyFill="1" applyBorder="1"/>
    <xf numFmtId="0" fontId="0" fillId="4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tabSelected="1" zoomScaleNormal="100" workbookViewId="0">
      <selection activeCell="H22" sqref="H22"/>
    </sheetView>
  </sheetViews>
  <sheetFormatPr defaultRowHeight="15" x14ac:dyDescent="0.25"/>
  <cols>
    <col min="2" max="2" width="110.28515625" customWidth="1"/>
    <col min="3" max="3" width="13.5703125" customWidth="1"/>
    <col min="4" max="4" width="16" customWidth="1"/>
    <col min="5" max="5" width="12.7109375" customWidth="1"/>
    <col min="6" max="6" width="15.7109375" customWidth="1"/>
    <col min="7" max="7" width="19" customWidth="1"/>
    <col min="8" max="8" width="21.140625" style="3" customWidth="1"/>
    <col min="9" max="9" width="48.5703125" customWidth="1"/>
    <col min="10" max="10" width="52.42578125" customWidth="1"/>
  </cols>
  <sheetData>
    <row r="1" spans="1:10" x14ac:dyDescent="0.25">
      <c r="B1" s="5"/>
      <c r="C1" s="6" t="s">
        <v>0</v>
      </c>
      <c r="D1" s="6" t="s">
        <v>1</v>
      </c>
      <c r="E1" s="7" t="s">
        <v>2</v>
      </c>
      <c r="F1" s="8" t="s">
        <v>3</v>
      </c>
      <c r="G1" s="4" t="s">
        <v>5</v>
      </c>
      <c r="H1" s="9" t="s">
        <v>4</v>
      </c>
    </row>
    <row r="2" spans="1:10" x14ac:dyDescent="0.25">
      <c r="A2" s="25">
        <v>1</v>
      </c>
      <c r="B2" s="17" t="s">
        <v>79</v>
      </c>
      <c r="C2" s="1">
        <v>5</v>
      </c>
      <c r="D2" s="18">
        <v>398.5</v>
      </c>
      <c r="E2" s="1">
        <v>450</v>
      </c>
      <c r="F2" s="1">
        <f t="shared" ref="F2:F17" si="0">MMULT(D2,C2)</f>
        <v>1992.5</v>
      </c>
      <c r="G2" s="1">
        <f>E2*D2</f>
        <v>179325</v>
      </c>
      <c r="H2" s="2">
        <f t="shared" ref="H2:H17" si="1">MMULT(E2,F2)</f>
        <v>896625</v>
      </c>
    </row>
    <row r="3" spans="1:10" x14ac:dyDescent="0.25">
      <c r="A3" s="21">
        <v>3</v>
      </c>
      <c r="B3" s="17" t="s">
        <v>36</v>
      </c>
      <c r="C3" s="1">
        <v>3</v>
      </c>
      <c r="D3" s="18">
        <v>2.2000000000000002</v>
      </c>
      <c r="E3" s="1">
        <v>450</v>
      </c>
      <c r="F3" s="1">
        <f t="shared" si="0"/>
        <v>6.6000000000000005</v>
      </c>
      <c r="G3" s="1">
        <f t="shared" ref="G3:G17" si="2">E3*D3</f>
        <v>990.00000000000011</v>
      </c>
      <c r="H3" s="2">
        <f t="shared" si="1"/>
        <v>2970.0000000000005</v>
      </c>
    </row>
    <row r="4" spans="1:10" x14ac:dyDescent="0.25">
      <c r="A4" s="16">
        <v>6</v>
      </c>
      <c r="B4" s="14" t="s">
        <v>39</v>
      </c>
      <c r="C4" s="1">
        <v>2</v>
      </c>
      <c r="D4" s="18">
        <v>2.2000000000000002</v>
      </c>
      <c r="E4" s="1">
        <v>1590</v>
      </c>
      <c r="F4" s="1">
        <f t="shared" si="0"/>
        <v>4.4000000000000004</v>
      </c>
      <c r="G4" s="1">
        <f t="shared" si="2"/>
        <v>3498.0000000000005</v>
      </c>
      <c r="H4" s="2">
        <f t="shared" si="1"/>
        <v>6996.0000000000009</v>
      </c>
    </row>
    <row r="5" spans="1:10" x14ac:dyDescent="0.25">
      <c r="A5" s="19">
        <v>8</v>
      </c>
      <c r="B5" s="17" t="s">
        <v>41</v>
      </c>
      <c r="C5" s="1">
        <v>10</v>
      </c>
      <c r="D5" s="18">
        <v>3.79</v>
      </c>
      <c r="E5" s="1">
        <v>450</v>
      </c>
      <c r="F5" s="1">
        <f t="shared" si="0"/>
        <v>37.9</v>
      </c>
      <c r="G5" s="1">
        <f t="shared" si="2"/>
        <v>1705.5</v>
      </c>
      <c r="H5" s="2">
        <f t="shared" si="1"/>
        <v>17055</v>
      </c>
    </row>
    <row r="6" spans="1:10" x14ac:dyDescent="0.25">
      <c r="A6" s="20">
        <v>18</v>
      </c>
      <c r="B6" s="14" t="s">
        <v>51</v>
      </c>
      <c r="C6" s="18">
        <v>8</v>
      </c>
      <c r="D6" s="18">
        <v>9.66</v>
      </c>
      <c r="E6" s="1">
        <v>1500</v>
      </c>
      <c r="F6" s="1">
        <f t="shared" si="0"/>
        <v>77.28</v>
      </c>
      <c r="G6" s="1">
        <f t="shared" si="2"/>
        <v>14490</v>
      </c>
      <c r="H6" s="2">
        <f t="shared" si="1"/>
        <v>115920</v>
      </c>
    </row>
    <row r="7" spans="1:10" x14ac:dyDescent="0.25">
      <c r="A7" s="22" t="s">
        <v>83</v>
      </c>
      <c r="B7" s="17" t="s">
        <v>59</v>
      </c>
      <c r="C7" s="1">
        <v>1</v>
      </c>
      <c r="D7" s="1">
        <v>402.1</v>
      </c>
      <c r="E7" s="1">
        <v>450</v>
      </c>
      <c r="F7" s="1">
        <f t="shared" si="0"/>
        <v>402.1</v>
      </c>
      <c r="G7" s="1">
        <f t="shared" si="2"/>
        <v>180945</v>
      </c>
      <c r="H7" s="2">
        <f t="shared" si="1"/>
        <v>180945</v>
      </c>
    </row>
    <row r="8" spans="1:10" x14ac:dyDescent="0.25">
      <c r="A8" s="22" t="s">
        <v>84</v>
      </c>
      <c r="B8" s="14" t="s">
        <v>60</v>
      </c>
      <c r="C8" s="1">
        <v>1</v>
      </c>
      <c r="D8" s="1">
        <v>402.1</v>
      </c>
      <c r="E8" s="1">
        <v>1249</v>
      </c>
      <c r="F8" s="1">
        <f t="shared" si="0"/>
        <v>402.1</v>
      </c>
      <c r="G8" s="1">
        <f t="shared" si="2"/>
        <v>502222.9</v>
      </c>
      <c r="H8" s="2">
        <f t="shared" si="1"/>
        <v>502222.9</v>
      </c>
    </row>
    <row r="9" spans="1:10" x14ac:dyDescent="0.25">
      <c r="A9" s="23">
        <v>28</v>
      </c>
      <c r="B9" s="17" t="s">
        <v>61</v>
      </c>
      <c r="C9" s="1">
        <v>2</v>
      </c>
      <c r="D9" s="18">
        <v>7.4</v>
      </c>
      <c r="E9" s="1">
        <v>450</v>
      </c>
      <c r="F9" s="1">
        <f t="shared" si="0"/>
        <v>14.8</v>
      </c>
      <c r="G9" s="1">
        <f t="shared" si="2"/>
        <v>3330</v>
      </c>
      <c r="H9" s="2">
        <f t="shared" si="1"/>
        <v>6660</v>
      </c>
    </row>
    <row r="10" spans="1:10" x14ac:dyDescent="0.25">
      <c r="A10" s="24">
        <v>30</v>
      </c>
      <c r="B10" s="14" t="s">
        <v>63</v>
      </c>
      <c r="C10" s="1">
        <v>2</v>
      </c>
      <c r="D10" s="18">
        <v>7.4</v>
      </c>
      <c r="E10" s="18">
        <v>1253</v>
      </c>
      <c r="F10" s="1">
        <f t="shared" si="0"/>
        <v>14.8</v>
      </c>
      <c r="G10" s="1">
        <f t="shared" si="2"/>
        <v>9272.2000000000007</v>
      </c>
      <c r="H10" s="2">
        <f t="shared" si="1"/>
        <v>18544.400000000001</v>
      </c>
    </row>
    <row r="11" spans="1:10" x14ac:dyDescent="0.25">
      <c r="A11" s="26">
        <v>35</v>
      </c>
      <c r="B11" s="14" t="s">
        <v>68</v>
      </c>
      <c r="C11" s="1">
        <v>5</v>
      </c>
      <c r="D11" s="1">
        <v>398.5</v>
      </c>
      <c r="E11" s="18">
        <v>1318</v>
      </c>
      <c r="F11" s="1">
        <f t="shared" si="0"/>
        <v>1992.5</v>
      </c>
      <c r="G11" s="1">
        <f t="shared" si="2"/>
        <v>525223</v>
      </c>
      <c r="H11" s="2">
        <f t="shared" si="1"/>
        <v>2626115</v>
      </c>
    </row>
    <row r="12" spans="1:10" x14ac:dyDescent="0.25">
      <c r="A12">
        <v>40</v>
      </c>
      <c r="B12" s="17" t="s">
        <v>76</v>
      </c>
      <c r="C12" s="1">
        <v>2</v>
      </c>
      <c r="D12" s="1">
        <v>0.74</v>
      </c>
      <c r="E12" s="1">
        <v>350</v>
      </c>
      <c r="F12" s="1">
        <f t="shared" si="0"/>
        <v>1.48</v>
      </c>
      <c r="G12" s="1">
        <f t="shared" si="2"/>
        <v>259</v>
      </c>
      <c r="H12" s="2">
        <f t="shared" si="1"/>
        <v>518</v>
      </c>
      <c r="I12" s="27"/>
    </row>
    <row r="13" spans="1:10" x14ac:dyDescent="0.25">
      <c r="A13">
        <v>41</v>
      </c>
      <c r="B13" s="14" t="s">
        <v>77</v>
      </c>
      <c r="C13" s="1">
        <v>2</v>
      </c>
      <c r="D13" s="1">
        <v>6.2</v>
      </c>
      <c r="E13" s="1">
        <v>1500</v>
      </c>
      <c r="F13" s="1">
        <f t="shared" si="0"/>
        <v>12.4</v>
      </c>
      <c r="G13" s="1">
        <f t="shared" si="2"/>
        <v>9300</v>
      </c>
      <c r="H13" s="2">
        <f t="shared" si="1"/>
        <v>18600</v>
      </c>
      <c r="I13" s="27"/>
    </row>
    <row r="14" spans="1:10" ht="15.75" customHeight="1" x14ac:dyDescent="0.45">
      <c r="A14">
        <v>42</v>
      </c>
      <c r="B14" s="35" t="s">
        <v>78</v>
      </c>
      <c r="C14" s="1">
        <v>4</v>
      </c>
      <c r="D14" s="1">
        <v>4.9000000000000002E-2</v>
      </c>
      <c r="E14" s="1">
        <v>2500</v>
      </c>
      <c r="F14" s="1">
        <f t="shared" si="0"/>
        <v>0.19600000000000001</v>
      </c>
      <c r="G14" s="1">
        <f t="shared" si="2"/>
        <v>122.5</v>
      </c>
      <c r="H14" s="2">
        <f t="shared" si="1"/>
        <v>490</v>
      </c>
      <c r="I14" s="27"/>
      <c r="J14" s="28" t="s">
        <v>85</v>
      </c>
    </row>
    <row r="15" spans="1:10" x14ac:dyDescent="0.25">
      <c r="A15">
        <v>43</v>
      </c>
      <c r="B15" s="17" t="s">
        <v>76</v>
      </c>
      <c r="C15" s="1">
        <v>1</v>
      </c>
      <c r="D15" s="1">
        <v>0.74</v>
      </c>
      <c r="E15" s="1">
        <v>350</v>
      </c>
      <c r="F15" s="1">
        <f t="shared" si="0"/>
        <v>0.74</v>
      </c>
      <c r="G15" s="1">
        <f t="shared" si="2"/>
        <v>259</v>
      </c>
      <c r="H15" s="2">
        <f t="shared" si="1"/>
        <v>259</v>
      </c>
      <c r="I15" s="27"/>
    </row>
    <row r="16" spans="1:10" x14ac:dyDescent="0.25">
      <c r="A16">
        <v>44</v>
      </c>
      <c r="B16" s="17" t="s">
        <v>80</v>
      </c>
      <c r="C16" s="1">
        <v>1</v>
      </c>
      <c r="D16" s="1">
        <v>6.2</v>
      </c>
      <c r="E16" s="1">
        <v>350</v>
      </c>
      <c r="F16" s="1">
        <f t="shared" si="0"/>
        <v>6.2</v>
      </c>
      <c r="G16" s="1">
        <f t="shared" si="2"/>
        <v>2170</v>
      </c>
      <c r="H16" s="2">
        <f t="shared" si="1"/>
        <v>2170</v>
      </c>
      <c r="I16" s="27"/>
    </row>
    <row r="17" spans="1:9" x14ac:dyDescent="0.25">
      <c r="A17">
        <v>45</v>
      </c>
      <c r="B17" s="17" t="s">
        <v>76</v>
      </c>
      <c r="C17" s="1">
        <v>1</v>
      </c>
      <c r="D17" s="1">
        <v>0.74</v>
      </c>
      <c r="E17" s="1">
        <v>350</v>
      </c>
      <c r="F17" s="1">
        <f t="shared" si="0"/>
        <v>0.74</v>
      </c>
      <c r="G17" s="1">
        <f t="shared" si="2"/>
        <v>259</v>
      </c>
      <c r="H17" s="2">
        <f t="shared" si="1"/>
        <v>259</v>
      </c>
      <c r="I17" s="27"/>
    </row>
    <row r="24" spans="1:9" ht="15.75" thickBot="1" x14ac:dyDescent="0.3">
      <c r="F24" s="10" t="s">
        <v>6</v>
      </c>
      <c r="H24" s="11" t="s">
        <v>7</v>
      </c>
    </row>
    <row r="25" spans="1:9" x14ac:dyDescent="0.25">
      <c r="F25" s="29">
        <f>SUM(F2:F24)</f>
        <v>4966.735999999999</v>
      </c>
      <c r="H25" s="32">
        <f>SUM(H2:H24)</f>
        <v>4396349.3</v>
      </c>
    </row>
    <row r="26" spans="1:9" x14ac:dyDescent="0.25">
      <c r="F26" s="30"/>
      <c r="H26" s="33"/>
    </row>
    <row r="27" spans="1:9" ht="15.75" thickBot="1" x14ac:dyDescent="0.3">
      <c r="F27" s="31"/>
      <c r="H27" s="34"/>
    </row>
    <row r="31" spans="1:9" x14ac:dyDescent="0.25">
      <c r="H31" t="s">
        <v>8</v>
      </c>
      <c r="I31" s="13" t="s">
        <v>82</v>
      </c>
    </row>
    <row r="32" spans="1:9" x14ac:dyDescent="0.25">
      <c r="H32" t="s">
        <v>9</v>
      </c>
      <c r="I32" s="13" t="s">
        <v>10</v>
      </c>
    </row>
    <row r="33" spans="7:9" x14ac:dyDescent="0.25">
      <c r="H33" t="s">
        <v>11</v>
      </c>
      <c r="I33" s="13" t="s">
        <v>30</v>
      </c>
    </row>
    <row r="34" spans="7:9" x14ac:dyDescent="0.25">
      <c r="H34" t="s">
        <v>12</v>
      </c>
      <c r="I34" s="13" t="s">
        <v>81</v>
      </c>
    </row>
    <row r="35" spans="7:9" x14ac:dyDescent="0.25">
      <c r="H35" t="s">
        <v>13</v>
      </c>
      <c r="I35" s="13" t="s">
        <v>31</v>
      </c>
    </row>
    <row r="36" spans="7:9" x14ac:dyDescent="0.25">
      <c r="H36" t="s">
        <v>14</v>
      </c>
      <c r="I36" s="13" t="s">
        <v>32</v>
      </c>
    </row>
    <row r="37" spans="7:9" x14ac:dyDescent="0.25">
      <c r="H37" t="s">
        <v>15</v>
      </c>
      <c r="I37" s="13" t="s">
        <v>16</v>
      </c>
    </row>
    <row r="38" spans="7:9" ht="63.75" customHeight="1" x14ac:dyDescent="0.25">
      <c r="H38" t="s">
        <v>17</v>
      </c>
      <c r="I38" s="15" t="s">
        <v>18</v>
      </c>
    </row>
    <row r="39" spans="7:9" x14ac:dyDescent="0.25">
      <c r="H39" t="s">
        <v>19</v>
      </c>
      <c r="I39" s="13" t="s">
        <v>33</v>
      </c>
    </row>
    <row r="40" spans="7:9" x14ac:dyDescent="0.25">
      <c r="G40" s="3"/>
      <c r="H40"/>
    </row>
    <row r="41" spans="7:9" x14ac:dyDescent="0.25">
      <c r="G41" s="3"/>
      <c r="H41"/>
    </row>
    <row r="42" spans="7:9" x14ac:dyDescent="0.25">
      <c r="G42" s="3"/>
      <c r="H42"/>
    </row>
  </sheetData>
  <autoFilter ref="B1:B42"/>
  <mergeCells count="2">
    <mergeCell ref="F25:F27"/>
    <mergeCell ref="H25:H27"/>
  </mergeCells>
  <phoneticPr fontId="3" type="noConversion"/>
  <pageMargins left="0.7" right="0.7" top="0.75" bottom="0.75" header="0.3" footer="0.3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>
      <selection activeCell="A13" sqref="A13:B57"/>
    </sheetView>
  </sheetViews>
  <sheetFormatPr defaultRowHeight="15" x14ac:dyDescent="0.25"/>
  <cols>
    <col min="1" max="1" width="100.140625" customWidth="1"/>
  </cols>
  <sheetData>
    <row r="1" spans="1:2" x14ac:dyDescent="0.25">
      <c r="A1" s="12" t="s">
        <v>20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23</v>
      </c>
    </row>
    <row r="5" spans="1:2" x14ac:dyDescent="0.25">
      <c r="A5" t="s">
        <v>24</v>
      </c>
    </row>
    <row r="6" spans="1:2" x14ac:dyDescent="0.25">
      <c r="A6" t="s">
        <v>25</v>
      </c>
    </row>
    <row r="7" spans="1:2" x14ac:dyDescent="0.25">
      <c r="A7" t="s">
        <v>26</v>
      </c>
    </row>
    <row r="8" spans="1:2" x14ac:dyDescent="0.25">
      <c r="A8" t="s">
        <v>27</v>
      </c>
    </row>
    <row r="9" spans="1:2" x14ac:dyDescent="0.25">
      <c r="A9" t="s">
        <v>28</v>
      </c>
    </row>
    <row r="10" spans="1:2" x14ac:dyDescent="0.25">
      <c r="A10" t="s">
        <v>29</v>
      </c>
    </row>
    <row r="13" spans="1:2" x14ac:dyDescent="0.25">
      <c r="A13" s="16" t="s">
        <v>34</v>
      </c>
      <c r="B13">
        <v>1</v>
      </c>
    </row>
    <row r="14" spans="1:2" x14ac:dyDescent="0.25">
      <c r="A14" t="s">
        <v>35</v>
      </c>
      <c r="B14">
        <v>1</v>
      </c>
    </row>
    <row r="15" spans="1:2" x14ac:dyDescent="0.25">
      <c r="A15" t="s">
        <v>36</v>
      </c>
      <c r="B15">
        <v>1</v>
      </c>
    </row>
    <row r="16" spans="1:2" x14ac:dyDescent="0.25">
      <c r="A16" t="s">
        <v>37</v>
      </c>
      <c r="B16">
        <v>1</v>
      </c>
    </row>
    <row r="17" spans="1:2" x14ac:dyDescent="0.25">
      <c r="A17" t="s">
        <v>38</v>
      </c>
      <c r="B17">
        <v>1</v>
      </c>
    </row>
    <row r="18" spans="1:2" x14ac:dyDescent="0.25">
      <c r="A18" t="s">
        <v>39</v>
      </c>
      <c r="B18">
        <v>1</v>
      </c>
    </row>
    <row r="19" spans="1:2" x14ac:dyDescent="0.25">
      <c r="A19" t="s">
        <v>40</v>
      </c>
      <c r="B19">
        <v>1</v>
      </c>
    </row>
    <row r="20" spans="1:2" x14ac:dyDescent="0.25">
      <c r="A20" t="s">
        <v>41</v>
      </c>
      <c r="B20">
        <v>1</v>
      </c>
    </row>
    <row r="21" spans="1:2" x14ac:dyDescent="0.25">
      <c r="A21" t="s">
        <v>42</v>
      </c>
      <c r="B21">
        <v>1</v>
      </c>
    </row>
    <row r="22" spans="1:2" x14ac:dyDescent="0.25">
      <c r="A22" t="s">
        <v>43</v>
      </c>
      <c r="B22">
        <v>1</v>
      </c>
    </row>
    <row r="23" spans="1:2" x14ac:dyDescent="0.25">
      <c r="A23" t="s">
        <v>44</v>
      </c>
      <c r="B23">
        <v>1</v>
      </c>
    </row>
    <row r="24" spans="1:2" x14ac:dyDescent="0.25">
      <c r="A24" t="s">
        <v>45</v>
      </c>
      <c r="B24">
        <v>1</v>
      </c>
    </row>
    <row r="25" spans="1:2" x14ac:dyDescent="0.25">
      <c r="A25" t="s">
        <v>46</v>
      </c>
      <c r="B25">
        <v>1</v>
      </c>
    </row>
    <row r="26" spans="1:2" x14ac:dyDescent="0.25">
      <c r="A26" t="s">
        <v>47</v>
      </c>
      <c r="B26">
        <v>1</v>
      </c>
    </row>
    <row r="27" spans="1:2" x14ac:dyDescent="0.25">
      <c r="A27" t="s">
        <v>48</v>
      </c>
      <c r="B27">
        <v>1</v>
      </c>
    </row>
    <row r="28" spans="1:2" x14ac:dyDescent="0.25">
      <c r="A28" t="s">
        <v>49</v>
      </c>
      <c r="B28">
        <v>1</v>
      </c>
    </row>
    <row r="29" spans="1:2" x14ac:dyDescent="0.25">
      <c r="A29" t="s">
        <v>50</v>
      </c>
      <c r="B29">
        <v>1</v>
      </c>
    </row>
    <row r="30" spans="1:2" x14ac:dyDescent="0.25">
      <c r="A30" t="s">
        <v>51</v>
      </c>
      <c r="B30">
        <v>1</v>
      </c>
    </row>
    <row r="31" spans="1:2" x14ac:dyDescent="0.25">
      <c r="A31" t="s">
        <v>52</v>
      </c>
      <c r="B31">
        <v>1</v>
      </c>
    </row>
    <row r="32" spans="1:2" x14ac:dyDescent="0.25">
      <c r="A32" t="s">
        <v>53</v>
      </c>
      <c r="B32">
        <v>1</v>
      </c>
    </row>
    <row r="33" spans="1:2" x14ac:dyDescent="0.25">
      <c r="A33" t="s">
        <v>54</v>
      </c>
      <c r="B33">
        <v>1</v>
      </c>
    </row>
    <row r="34" spans="1:2" x14ac:dyDescent="0.25">
      <c r="A34" t="s">
        <v>55</v>
      </c>
      <c r="B34">
        <v>1</v>
      </c>
    </row>
    <row r="35" spans="1:2" x14ac:dyDescent="0.25">
      <c r="A35" t="s">
        <v>56</v>
      </c>
      <c r="B35">
        <v>1</v>
      </c>
    </row>
    <row r="36" spans="1:2" x14ac:dyDescent="0.25">
      <c r="A36" t="s">
        <v>57</v>
      </c>
      <c r="B36">
        <v>1</v>
      </c>
    </row>
    <row r="37" spans="1:2" x14ac:dyDescent="0.25">
      <c r="A37" t="s">
        <v>58</v>
      </c>
      <c r="B37">
        <v>1</v>
      </c>
    </row>
    <row r="38" spans="1:2" x14ac:dyDescent="0.25">
      <c r="A38" t="s">
        <v>59</v>
      </c>
      <c r="B38">
        <v>1</v>
      </c>
    </row>
    <row r="39" spans="1:2" x14ac:dyDescent="0.25">
      <c r="A39" t="s">
        <v>60</v>
      </c>
      <c r="B39">
        <v>1</v>
      </c>
    </row>
    <row r="40" spans="1:2" x14ac:dyDescent="0.25">
      <c r="A40" t="s">
        <v>61</v>
      </c>
      <c r="B40">
        <v>1</v>
      </c>
    </row>
    <row r="41" spans="1:2" x14ac:dyDescent="0.25">
      <c r="A41" t="s">
        <v>62</v>
      </c>
      <c r="B41">
        <v>1</v>
      </c>
    </row>
    <row r="42" spans="1:2" x14ac:dyDescent="0.25">
      <c r="A42" t="s">
        <v>63</v>
      </c>
      <c r="B42">
        <v>1</v>
      </c>
    </row>
    <row r="43" spans="1:2" x14ac:dyDescent="0.25">
      <c r="A43" t="s">
        <v>64</v>
      </c>
      <c r="B43">
        <v>1</v>
      </c>
    </row>
    <row r="44" spans="1:2" x14ac:dyDescent="0.25">
      <c r="A44" t="s">
        <v>65</v>
      </c>
      <c r="B44">
        <v>1</v>
      </c>
    </row>
    <row r="45" spans="1:2" x14ac:dyDescent="0.25">
      <c r="A45" t="s">
        <v>66</v>
      </c>
      <c r="B45">
        <v>1</v>
      </c>
    </row>
    <row r="46" spans="1:2" x14ac:dyDescent="0.25">
      <c r="A46" t="s">
        <v>67</v>
      </c>
      <c r="B46">
        <v>1</v>
      </c>
    </row>
    <row r="47" spans="1:2" x14ac:dyDescent="0.25">
      <c r="A47" t="s">
        <v>68</v>
      </c>
      <c r="B47">
        <v>1</v>
      </c>
    </row>
    <row r="48" spans="1:2" x14ac:dyDescent="0.25">
      <c r="A48" t="s">
        <v>69</v>
      </c>
      <c r="B48">
        <v>1</v>
      </c>
    </row>
    <row r="49" spans="1:2" x14ac:dyDescent="0.25">
      <c r="A49" t="s">
        <v>70</v>
      </c>
      <c r="B49">
        <v>1</v>
      </c>
    </row>
    <row r="50" spans="1:2" x14ac:dyDescent="0.25">
      <c r="A50" t="s">
        <v>71</v>
      </c>
      <c r="B50">
        <v>1</v>
      </c>
    </row>
    <row r="51" spans="1:2" x14ac:dyDescent="0.25">
      <c r="A51" t="s">
        <v>72</v>
      </c>
      <c r="B51">
        <v>1</v>
      </c>
    </row>
    <row r="52" spans="1:2" x14ac:dyDescent="0.25">
      <c r="A52" t="s">
        <v>73</v>
      </c>
      <c r="B52">
        <v>2</v>
      </c>
    </row>
    <row r="53" spans="1:2" x14ac:dyDescent="0.25">
      <c r="A53" t="s">
        <v>74</v>
      </c>
      <c r="B53">
        <v>2</v>
      </c>
    </row>
    <row r="54" spans="1:2" x14ac:dyDescent="0.25">
      <c r="A54" t="s">
        <v>75</v>
      </c>
      <c r="B54">
        <v>4</v>
      </c>
    </row>
    <row r="55" spans="1:2" x14ac:dyDescent="0.25">
      <c r="A55" t="s">
        <v>73</v>
      </c>
      <c r="B55">
        <v>1</v>
      </c>
    </row>
    <row r="56" spans="1:2" x14ac:dyDescent="0.25">
      <c r="A56" t="s">
        <v>74</v>
      </c>
      <c r="B56">
        <v>1</v>
      </c>
    </row>
    <row r="57" spans="1:2" x14ac:dyDescent="0.25">
      <c r="A57" t="s">
        <v>73</v>
      </c>
      <c r="B57">
        <v>1</v>
      </c>
    </row>
  </sheetData>
  <autoFilter ref="A1:A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</cp:lastModifiedBy>
  <cp:lastPrinted>2025-05-05T04:41:41Z</cp:lastPrinted>
  <dcterms:created xsi:type="dcterms:W3CDTF">2015-06-05T18:19:34Z</dcterms:created>
  <dcterms:modified xsi:type="dcterms:W3CDTF">2025-06-04T15:55:36Z</dcterms:modified>
</cp:coreProperties>
</file>
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Опора\"/>
    </mc:Choice>
  </mc:AlternateContent>
  <bookViews>
    <workbookView xWindow="0" yWindow="0" windowWidth="23040" windowHeight="9192"/>
  </bookViews>
  <sheets>
    <sheet name="Лист1" sheetId="1" r:id="rId1"/>
    <sheet name="Лист2" sheetId="2" r:id="rId2"/>
  </sheets>
  <definedNames>
    <definedName name="_xlnm._FilterDatabase" localSheetId="0" hidden="1">Лист1!$A$1:$A$30</definedName>
    <definedName name="_xlnm._FilterDatabase" localSheetId="1" hidden="1">Лист2!$A$1:$A$57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 l="1"/>
  <c r="E5" i="1"/>
  <c r="E2" i="1"/>
  <c r="E6" i="1" l="1"/>
</calcChain>
</file>

<file path=xl/sharedStrings.xml><?xml version="1.0" encoding="utf-8"?>
<sst xmlns="http://schemas.openxmlformats.org/spreadsheetml/2006/main" count="68" uniqueCount="63">
  <si>
    <t>Опора 039 СТО 79814898 132-2009</t>
  </si>
  <si>
    <t>Опора 044 СТО 79814898 132-2009</t>
  </si>
  <si>
    <t>Опора 035 СТО 79814898 131-2009</t>
  </si>
  <si>
    <t>Опора 036 СТО 79814898 131-2009</t>
  </si>
  <si>
    <t>Опора 103 СТО 79814898 131-2009</t>
  </si>
  <si>
    <t>Опора 104 СТО 79814898 131-2009</t>
  </si>
  <si>
    <t>Опора 111 СТО 79814898 131-2009</t>
  </si>
  <si>
    <t>Опора 112 СТО 79814898 131-2009</t>
  </si>
  <si>
    <t>Опора 137 СТО 79814898 131-2009</t>
  </si>
  <si>
    <t>Опора 138 СТО 79814898 131-2009</t>
  </si>
  <si>
    <t xml:space="preserve"> Опора  137 СТО 79814898 131-2009  Support 137 STO 79814898 131-2009 10PCB01BQ003</t>
  </si>
  <si>
    <t>Опора  137 СТО 79814898 131-2009 Support 137 STO 79814898 131-2009 10PCB01BQ012</t>
  </si>
  <si>
    <t>Опора 035 СТО 79814898 131-2009 Support 035 STO 79814898 131-2009 10PCB01BQ006</t>
  </si>
  <si>
    <t>Опора 035 СТО 79814898 131-2009 Support 035 STO 79814898 131-2009 10PCB01BQ015</t>
  </si>
  <si>
    <t>Опора 035 СТО 79814898 131-2009 Support 035 STO 79814898 131-2009 10PCB01BQ016</t>
  </si>
  <si>
    <t>Опора 036 СТО 79814898 131-2009 Support 036 STO 79814898 131-2009 10PGB01BQ010</t>
  </si>
  <si>
    <t>Опора 036 СТО 79814898 131-2009 Support 036 STO 79814898 131-2009 10PGB01BQ011</t>
  </si>
  <si>
    <t>Опора 039 СТО 79814898 132-2009 Support 039STO 79814898 132-2009 10PCB00BQ001</t>
  </si>
  <si>
    <t>Опора 039 СТО 79814898 132-2009 Support 039STO 79814898 132-2009 10PCB01BQ005</t>
  </si>
  <si>
    <t>Опора 039 СТО 79814898 132-2009/Support 039STO 79814898 132-2009  10PCB00BQ007</t>
  </si>
  <si>
    <t>Опора 039 СТО 79814898 132-2009/Support 039STO 79814898 132-2009  10PCB00BQ003</t>
  </si>
  <si>
    <t>Опора 039 СТО 79814898 132-2009/Support 039STO 79814898 132-2009  10PCB00BQ004</t>
  </si>
  <si>
    <t>Опора 039 СТО 79814898 132-2009/Support 039STO 79814898 132-2009 10PCB00BQ009</t>
  </si>
  <si>
    <t>Опора 039 СТО 79814898 132-2009/Support 039STO 79814898 132-2009 10PCB00BQ014</t>
  </si>
  <si>
    <t>Опора 039 СТО 79814898 132-2009/Support 039STO 79814898 132-2009 10PCB00BQ002</t>
  </si>
  <si>
    <t>Опора 039 СТО 79814898 132-2009/Support 039STO 79814898 132-2009 10PCB00BQ006</t>
  </si>
  <si>
    <t>Опора 039 СТО 79814898 132-2009/Support 039STO 79814898 132-2009 10PCB00BQ008</t>
  </si>
  <si>
    <t>Опора 044 СТО 79814898 132-2009/Support 044 STO 79814898 132-2009 10PGB00BQ006</t>
  </si>
  <si>
    <t>Опора 044 СТО 79814898 132-2009/Support 044 STO 79814898 132-2009 10PGB00BQ002</t>
  </si>
  <si>
    <t>Опора 044 СТО 79814898 132-2009/Support 044 STO 79814898 132-2009 10PGB00BQ004</t>
  </si>
  <si>
    <t>Опора 044 СТО 79814898 132-2009/Support 044 STO 79814898 132-2009 10PGB00BQ008</t>
  </si>
  <si>
    <t>Опора 044 СТО 79814898 132-2009/Support 044 STO 79814898 132-2009 10PGB00BQ001</t>
  </si>
  <si>
    <t>Опора 044 СТО 79814898 132-2009/Support 044 STO 79814898 132-2009 10PGB00BQ003</t>
  </si>
  <si>
    <t>Опора 044 СТО 79814898 132-2009/Support 044 STO 79814898 132-2009 10PGB00BQ005</t>
  </si>
  <si>
    <t>Опора 044 СТО 79814898 132-2009/Support 044 STO 79814898 132-2009 10PGB00BQ007</t>
  </si>
  <si>
    <t>Опора 103 СТО 79814898 131-2009/Support 103 STO 79814898 131-2009 10PCB01BQ001</t>
  </si>
  <si>
    <t>Опора 104 СТО 79814898 131-2009/Support 104 STO 79814898 131-200910PGB01BQ001</t>
  </si>
  <si>
    <t>Опора 111 СТО 79814898 131-2009/Support 111 STO 79814898 131-2009 10PCB01BQ010</t>
  </si>
  <si>
    <t>Опора 111 СТО 79814898 131-2009/Support 111 STO 79814898 131-2009 10PCB01BQ020</t>
  </si>
  <si>
    <t>Опора 112 СТО 79814898 131-2009/Support 112 STO 79814898 131-2009 10PGB01BQ006</t>
  </si>
  <si>
    <t>Опора 112 СТО 79814898 131-2009/Support 112 STO 79814898 131-2009</t>
  </si>
  <si>
    <t>Опора 137 СТО 79814898 131-2009/Support 137 STO 79814898 131-2009 10PCB01BQ002</t>
  </si>
  <si>
    <t>Опора 137 СТО 79814898 131-2009/Support 137 STO 79814898 131-2009 10PCB01BQ013</t>
  </si>
  <si>
    <t>Опора 137 СТО 79814898 131-2009/Support 137 STO 79814898 131-2009 10PCB01BQ011</t>
  </si>
  <si>
    <t>Опора 138 СТО 79814898 131-2009/Support 138 STO 79814898 131-2009 10PGB01BQ002</t>
  </si>
  <si>
    <t>Опора 138 СТО 79814898 131-2009/Support 138 STO 79814898 131-2009 10PGB01BQ003</t>
  </si>
  <si>
    <t>Опора 138 СТО 79814898 131-2009/Support 138 STO 79814898 131-2009 10PGB01BQ007</t>
  </si>
  <si>
    <t>Опора 138 СТО 79814898 131-2009/Support 138 STO 79814898 131-2009 10PGB01BQ008</t>
  </si>
  <si>
    <t>Опора 138 СТО 79814898 131-2009/Support 138 STO 79814898 131-2009 10PGB01BQ009</t>
  </si>
  <si>
    <t>ОСТ 34-10-615-93/OST 34-10-615-93</t>
  </si>
  <si>
    <t>ОСТ 34-10-616-93/OST 34-10-616-93</t>
  </si>
  <si>
    <t>ГОСТ 24137-80/GOST 24137-80</t>
  </si>
  <si>
    <t>кол-во</t>
  </si>
  <si>
    <t>Опора 111 СТО 79814898 131</t>
  </si>
  <si>
    <t>Опора 112 СТО 79814898 131</t>
  </si>
  <si>
    <t>Опора  137 СТО 79814898 131</t>
  </si>
  <si>
    <t>Цена руб с НДС за шт</t>
  </si>
  <si>
    <t>Наименование</t>
  </si>
  <si>
    <t>Опора  138 СТО 79814898 131</t>
  </si>
  <si>
    <t>Стоимость изготовления с материалом</t>
  </si>
  <si>
    <t>Направляющая 235х20х16</t>
  </si>
  <si>
    <t>Направляющая 1070х30х30</t>
  </si>
  <si>
    <t xml:space="preserve">Сумма руб с НДС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</si>
</sst>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tabSelected="1" zoomScale="145" zoomScaleNormal="145" workbookViewId="0">
      <selection activeCell="E10" sqref="E10"/>
    </sheetView>
  </sheetViews>
  <sheetFormatPr defaultRowHeight="14.4" x14ac:dyDescent="0.3"/>
  <cols>
    <col min="1" max="1" width="34.21875" style="5" customWidth="1"/>
    <col min="2" max="2" width="34.21875" style="11" customWidth="1"/>
    <col min="3" max="3" width="8" style="5" customWidth="1"/>
    <col min="4" max="4" width="15" style="3" customWidth="1"/>
    <col min="5" max="5" width="14.5546875" style="3" customWidth="1"/>
    <col min="6" max="6" width="13.21875" style="3" customWidth="1"/>
    <col min="7" max="16384" width="8.88671875" style="3"/>
  </cols>
  <sheetData>
    <row r="1" spans="1:7" s="5" customFormat="1" ht="28.8" x14ac:dyDescent="0.3">
      <c r="A1" s="8" t="s">
        <v>57</v>
      </c>
      <c r="B1" s="10"/>
      <c r="C1" s="9" t="s">
        <v>52</v>
      </c>
      <c r="D1" s="8" t="s">
        <v>56</v>
      </c>
      <c r="E1" s="8" t="s">
        <v>62</v>
      </c>
    </row>
    <row r="2" spans="1:7" x14ac:dyDescent="0.3">
      <c r="A2" s="4" t="s">
        <v>55</v>
      </c>
      <c r="B2" s="12" t="s">
        <v>61</v>
      </c>
      <c r="C2" s="4">
        <v>10</v>
      </c>
      <c r="D2" s="7">
        <v>4600</v>
      </c>
      <c r="E2" s="7">
        <f>C2*D2</f>
        <v>46000</v>
      </c>
      <c r="F2" s="6"/>
      <c r="G2" s="6"/>
    </row>
    <row r="3" spans="1:7" x14ac:dyDescent="0.3">
      <c r="A3" s="4" t="s">
        <v>58</v>
      </c>
      <c r="B3" s="12" t="s">
        <v>61</v>
      </c>
      <c r="C3" s="4">
        <v>10</v>
      </c>
      <c r="D3" s="7">
        <v>4600</v>
      </c>
      <c r="E3" s="7">
        <f>C3*D3</f>
        <v>46000</v>
      </c>
      <c r="F3" s="6"/>
      <c r="G3" s="6"/>
    </row>
    <row r="4" spans="1:7" x14ac:dyDescent="0.3">
      <c r="A4" s="4" t="s">
        <v>53</v>
      </c>
      <c r="B4" s="12" t="s">
        <v>60</v>
      </c>
      <c r="C4" s="4">
        <v>4</v>
      </c>
      <c r="D4" s="7">
        <v>2100</v>
      </c>
      <c r="E4" s="7">
        <f t="shared" ref="E4:E5" si="0">C4*D4</f>
        <v>8400</v>
      </c>
      <c r="F4" s="6"/>
      <c r="G4" s="6"/>
    </row>
    <row r="5" spans="1:7" x14ac:dyDescent="0.3">
      <c r="A5" s="4" t="s">
        <v>54</v>
      </c>
      <c r="B5" s="12" t="s">
        <v>60</v>
      </c>
      <c r="C5" s="4">
        <v>4</v>
      </c>
      <c r="D5" s="7">
        <v>2100</v>
      </c>
      <c r="E5" s="7">
        <f t="shared" si="0"/>
        <v>8400</v>
      </c>
      <c r="F5" s="6"/>
      <c r="G5" s="6"/>
    </row>
    <row r="6" spans="1:7" x14ac:dyDescent="0.3">
      <c r="A6" s="8"/>
      <c r="B6" s="10"/>
      <c r="C6" s="8"/>
      <c r="D6" s="7"/>
      <c r="E6" s="7">
        <f>SUM(E2:E5)</f>
        <v>108800</v>
      </c>
      <c r="F6" s="6"/>
      <c r="G6" s="6"/>
    </row>
    <row r="7" spans="1:7" x14ac:dyDescent="0.3">
      <c r="D7" s="6"/>
      <c r="E7" s="6"/>
      <c r="F7" s="6"/>
      <c r="G7" s="6"/>
    </row>
    <row r="8" spans="1:7" ht="28.8" x14ac:dyDescent="0.3">
      <c r="A8" s="5" t="s">
        <v>59</v>
      </c>
      <c r="D8" s="6"/>
      <c r="E8" s="6"/>
      <c r="F8" s="6"/>
      <c r="G8" s="6"/>
    </row>
    <row r="9" spans="1:7" x14ac:dyDescent="0.3">
      <c r="D9" s="6"/>
      <c r="E9" s="6"/>
      <c r="F9" s="6"/>
      <c r="G9" s="6"/>
    </row>
    <row r="10" spans="1:7" x14ac:dyDescent="0.3">
      <c r="D10" s="6"/>
      <c r="E10" s="6"/>
      <c r="F10" s="6"/>
      <c r="G10" s="6"/>
    </row>
    <row r="11" spans="1:7" x14ac:dyDescent="0.3">
      <c r="D11" s="6"/>
      <c r="E11" s="6"/>
      <c r="F11" s="6"/>
      <c r="G11" s="6"/>
    </row>
    <row r="12" spans="1:7" x14ac:dyDescent="0.3">
      <c r="D12" s="6"/>
      <c r="E12" s="6"/>
      <c r="F12" s="6"/>
      <c r="G12" s="6"/>
    </row>
    <row r="13" spans="1:7" x14ac:dyDescent="0.3">
      <c r="D13" s="6"/>
      <c r="E13" s="6"/>
      <c r="F13" s="6"/>
      <c r="G13" s="6"/>
    </row>
    <row r="14" spans="1:7" x14ac:dyDescent="0.3">
      <c r="D14" s="6"/>
      <c r="E14" s="6"/>
      <c r="F14" s="6"/>
      <c r="G14" s="6"/>
    </row>
    <row r="15" spans="1:7" x14ac:dyDescent="0.3">
      <c r="D15" s="6"/>
      <c r="E15" s="6"/>
      <c r="F15" s="6"/>
      <c r="G15" s="6"/>
    </row>
    <row r="16" spans="1:7" x14ac:dyDescent="0.3">
      <c r="D16" s="6"/>
      <c r="E16" s="6"/>
      <c r="F16" s="6"/>
      <c r="G16" s="6"/>
    </row>
    <row r="26" ht="63.75" customHeight="1" x14ac:dyDescent="0.3"/>
  </sheetData>
  <phoneticPr fontId="3" type="noConversion"/>
  <pageMargins left="0.7" right="0.7" top="0.75" bottom="0.75" header="0.3" footer="0.3"/>
  <pageSetup paperSize="9" scale="6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workbookViewId="0">
      <selection activeCell="A13" sqref="A13:B57"/>
    </sheetView>
  </sheetViews>
  <sheetFormatPr defaultRowHeight="14.4" x14ac:dyDescent="0.3"/>
  <cols>
    <col min="1" max="1" width="100.109375" customWidth="1"/>
  </cols>
  <sheetData>
    <row r="1" spans="1:2" x14ac:dyDescent="0.3">
      <c r="A1" s="1" t="s">
        <v>0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8</v>
      </c>
    </row>
    <row r="10" spans="1:2" x14ac:dyDescent="0.3">
      <c r="A10" t="s">
        <v>9</v>
      </c>
    </row>
    <row r="13" spans="1:2" x14ac:dyDescent="0.3">
      <c r="A13" s="2" t="s">
        <v>10</v>
      </c>
      <c r="B13">
        <v>1</v>
      </c>
    </row>
    <row r="14" spans="1:2" x14ac:dyDescent="0.3">
      <c r="A14" t="s">
        <v>11</v>
      </c>
      <c r="B14">
        <v>1</v>
      </c>
    </row>
    <row r="15" spans="1:2" x14ac:dyDescent="0.3">
      <c r="A15" t="s">
        <v>12</v>
      </c>
      <c r="B15">
        <v>1</v>
      </c>
    </row>
    <row r="16" spans="1:2" x14ac:dyDescent="0.3">
      <c r="A16" t="s">
        <v>13</v>
      </c>
      <c r="B16">
        <v>1</v>
      </c>
    </row>
    <row r="17" spans="1:2" x14ac:dyDescent="0.3">
      <c r="A17" t="s">
        <v>14</v>
      </c>
      <c r="B17">
        <v>1</v>
      </c>
    </row>
    <row r="18" spans="1:2" x14ac:dyDescent="0.3">
      <c r="A18" t="s">
        <v>15</v>
      </c>
      <c r="B18">
        <v>1</v>
      </c>
    </row>
    <row r="19" spans="1:2" x14ac:dyDescent="0.3">
      <c r="A19" t="s">
        <v>16</v>
      </c>
      <c r="B19">
        <v>1</v>
      </c>
    </row>
    <row r="20" spans="1:2" x14ac:dyDescent="0.3">
      <c r="A20" t="s">
        <v>17</v>
      </c>
      <c r="B20">
        <v>1</v>
      </c>
    </row>
    <row r="21" spans="1:2" x14ac:dyDescent="0.3">
      <c r="A21" t="s">
        <v>18</v>
      </c>
      <c r="B21">
        <v>1</v>
      </c>
    </row>
    <row r="22" spans="1:2" x14ac:dyDescent="0.3">
      <c r="A22" t="s">
        <v>19</v>
      </c>
      <c r="B22">
        <v>1</v>
      </c>
    </row>
    <row r="23" spans="1:2" x14ac:dyDescent="0.3">
      <c r="A23" t="s">
        <v>20</v>
      </c>
      <c r="B23">
        <v>1</v>
      </c>
    </row>
    <row r="24" spans="1:2" x14ac:dyDescent="0.3">
      <c r="A24" t="s">
        <v>21</v>
      </c>
      <c r="B24">
        <v>1</v>
      </c>
    </row>
    <row r="25" spans="1:2" x14ac:dyDescent="0.3">
      <c r="A25" t="s">
        <v>22</v>
      </c>
      <c r="B25">
        <v>1</v>
      </c>
    </row>
    <row r="26" spans="1:2" x14ac:dyDescent="0.3">
      <c r="A26" t="s">
        <v>23</v>
      </c>
      <c r="B26">
        <v>1</v>
      </c>
    </row>
    <row r="27" spans="1:2" x14ac:dyDescent="0.3">
      <c r="A27" t="s">
        <v>24</v>
      </c>
      <c r="B27">
        <v>1</v>
      </c>
    </row>
    <row r="28" spans="1:2" x14ac:dyDescent="0.3">
      <c r="A28" t="s">
        <v>25</v>
      </c>
      <c r="B28">
        <v>1</v>
      </c>
    </row>
    <row r="29" spans="1:2" x14ac:dyDescent="0.3">
      <c r="A29" t="s">
        <v>26</v>
      </c>
      <c r="B29">
        <v>1</v>
      </c>
    </row>
    <row r="30" spans="1:2" x14ac:dyDescent="0.3">
      <c r="A30" t="s">
        <v>27</v>
      </c>
      <c r="B30">
        <v>1</v>
      </c>
    </row>
    <row r="31" spans="1:2" x14ac:dyDescent="0.3">
      <c r="A31" t="s">
        <v>28</v>
      </c>
      <c r="B31">
        <v>1</v>
      </c>
    </row>
    <row r="32" spans="1:2" x14ac:dyDescent="0.3">
      <c r="A32" t="s">
        <v>29</v>
      </c>
      <c r="B32">
        <v>1</v>
      </c>
    </row>
    <row r="33" spans="1:2" x14ac:dyDescent="0.3">
      <c r="A33" t="s">
        <v>30</v>
      </c>
      <c r="B33">
        <v>1</v>
      </c>
    </row>
    <row r="34" spans="1:2" x14ac:dyDescent="0.3">
      <c r="A34" t="s">
        <v>31</v>
      </c>
      <c r="B34">
        <v>1</v>
      </c>
    </row>
    <row r="35" spans="1:2" x14ac:dyDescent="0.3">
      <c r="A35" t="s">
        <v>32</v>
      </c>
      <c r="B35">
        <v>1</v>
      </c>
    </row>
    <row r="36" spans="1:2" x14ac:dyDescent="0.3">
      <c r="A36" t="s">
        <v>33</v>
      </c>
      <c r="B36">
        <v>1</v>
      </c>
    </row>
    <row r="37" spans="1:2" x14ac:dyDescent="0.3">
      <c r="A37" t="s">
        <v>34</v>
      </c>
      <c r="B37">
        <v>1</v>
      </c>
    </row>
    <row r="38" spans="1:2" x14ac:dyDescent="0.3">
      <c r="A38" t="s">
        <v>35</v>
      </c>
      <c r="B38">
        <v>1</v>
      </c>
    </row>
    <row r="39" spans="1:2" x14ac:dyDescent="0.3">
      <c r="A39" t="s">
        <v>36</v>
      </c>
      <c r="B39">
        <v>1</v>
      </c>
    </row>
    <row r="40" spans="1:2" x14ac:dyDescent="0.3">
      <c r="A40" t="s">
        <v>37</v>
      </c>
      <c r="B40">
        <v>1</v>
      </c>
    </row>
    <row r="41" spans="1:2" x14ac:dyDescent="0.3">
      <c r="A41" t="s">
        <v>38</v>
      </c>
      <c r="B41">
        <v>1</v>
      </c>
    </row>
    <row r="42" spans="1:2" x14ac:dyDescent="0.3">
      <c r="A42" t="s">
        <v>39</v>
      </c>
      <c r="B42">
        <v>1</v>
      </c>
    </row>
    <row r="43" spans="1:2" x14ac:dyDescent="0.3">
      <c r="A43" t="s">
        <v>40</v>
      </c>
      <c r="B43">
        <v>1</v>
      </c>
    </row>
    <row r="44" spans="1:2" x14ac:dyDescent="0.3">
      <c r="A44" t="s">
        <v>41</v>
      </c>
      <c r="B44">
        <v>1</v>
      </c>
    </row>
    <row r="45" spans="1:2" x14ac:dyDescent="0.3">
      <c r="A45" t="s">
        <v>42</v>
      </c>
      <c r="B45">
        <v>1</v>
      </c>
    </row>
    <row r="46" spans="1:2" x14ac:dyDescent="0.3">
      <c r="A46" t="s">
        <v>43</v>
      </c>
      <c r="B46">
        <v>1</v>
      </c>
    </row>
    <row r="47" spans="1:2" x14ac:dyDescent="0.3">
      <c r="A47" t="s">
        <v>44</v>
      </c>
      <c r="B47">
        <v>1</v>
      </c>
    </row>
    <row r="48" spans="1:2" x14ac:dyDescent="0.3">
      <c r="A48" t="s">
        <v>45</v>
      </c>
      <c r="B48">
        <v>1</v>
      </c>
    </row>
    <row r="49" spans="1:2" x14ac:dyDescent="0.3">
      <c r="A49" t="s">
        <v>46</v>
      </c>
      <c r="B49">
        <v>1</v>
      </c>
    </row>
    <row r="50" spans="1:2" x14ac:dyDescent="0.3">
      <c r="A50" t="s">
        <v>47</v>
      </c>
      <c r="B50">
        <v>1</v>
      </c>
    </row>
    <row r="51" spans="1:2" x14ac:dyDescent="0.3">
      <c r="A51" t="s">
        <v>48</v>
      </c>
      <c r="B51">
        <v>1</v>
      </c>
    </row>
    <row r="52" spans="1:2" x14ac:dyDescent="0.3">
      <c r="A52" t="s">
        <v>49</v>
      </c>
      <c r="B52">
        <v>2</v>
      </c>
    </row>
    <row r="53" spans="1:2" x14ac:dyDescent="0.3">
      <c r="A53" t="s">
        <v>50</v>
      </c>
      <c r="B53">
        <v>2</v>
      </c>
    </row>
    <row r="54" spans="1:2" x14ac:dyDescent="0.3">
      <c r="A54" t="s">
        <v>51</v>
      </c>
      <c r="B54">
        <v>4</v>
      </c>
    </row>
    <row r="55" spans="1:2" x14ac:dyDescent="0.3">
      <c r="A55" t="s">
        <v>49</v>
      </c>
      <c r="B55">
        <v>1</v>
      </c>
    </row>
    <row r="56" spans="1:2" x14ac:dyDescent="0.3">
      <c r="A56" t="s">
        <v>50</v>
      </c>
      <c r="B56">
        <v>1</v>
      </c>
    </row>
    <row r="57" spans="1:2" x14ac:dyDescent="0.3">
      <c r="A57" t="s">
        <v>49</v>
      </c>
      <c r="B57">
        <v>1</v>
      </c>
    </row>
  </sheetData>
  <autoFilter ref="A1:A5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2025-05-05T04:41:41Z</cp:lastPrinted>
  <dcterms:created xsi:type="dcterms:W3CDTF">2015-06-05T18:19:34Z</dcterms:created>
  <dcterms:modified xsi:type="dcterms:W3CDTF">2025-07-17T09:05:26Z</dcterms:modified>
</cp:coreProperties>
</file>
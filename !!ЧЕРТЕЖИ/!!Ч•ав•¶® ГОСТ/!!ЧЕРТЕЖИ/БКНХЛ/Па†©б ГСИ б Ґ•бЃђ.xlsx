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85" windowWidth="23580" windowHeight="13740" activeTab="1"/>
  </bookViews>
  <sheets>
    <sheet name="2008г" sheetId="1" r:id="rId1"/>
    <sheet name="2014г" sheetId="4" r:id="rId2"/>
  </sheets>
  <calcPr calcId="145621"/>
</workbook>
</file>

<file path=xl/calcChain.xml><?xml version="1.0" encoding="utf-8"?>
<calcChain xmlns="http://schemas.openxmlformats.org/spreadsheetml/2006/main">
  <c r="I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5" i="4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C26" i="1"/>
  <c r="D26" i="1"/>
  <c r="E26" i="1"/>
  <c r="L26" i="1" s="1"/>
  <c r="F26" i="1"/>
  <c r="G26" i="1"/>
  <c r="H26" i="1"/>
  <c r="I26" i="1"/>
  <c r="C27" i="1"/>
  <c r="D27" i="1"/>
  <c r="E27" i="1"/>
  <c r="L27" i="1" s="1"/>
  <c r="F27" i="1"/>
  <c r="G27" i="1"/>
  <c r="H27" i="1"/>
  <c r="I27" i="1"/>
  <c r="C28" i="1"/>
  <c r="D28" i="1"/>
  <c r="E28" i="1"/>
  <c r="L28" i="1" s="1"/>
  <c r="F28" i="1"/>
  <c r="G28" i="1"/>
  <c r="H28" i="1"/>
  <c r="I28" i="1"/>
  <c r="C29" i="1"/>
  <c r="D29" i="1"/>
  <c r="E29" i="1"/>
  <c r="L29" i="1" s="1"/>
  <c r="F29" i="1"/>
  <c r="G29" i="1"/>
  <c r="H29" i="1"/>
  <c r="I29" i="1"/>
  <c r="C30" i="1"/>
  <c r="D30" i="1"/>
  <c r="E30" i="1"/>
  <c r="L30" i="1" s="1"/>
  <c r="F30" i="1"/>
  <c r="G30" i="1"/>
  <c r="H30" i="1"/>
  <c r="I30" i="1"/>
  <c r="C31" i="1"/>
  <c r="D31" i="1"/>
  <c r="E31" i="1"/>
  <c r="L31" i="1" s="1"/>
  <c r="F31" i="1"/>
  <c r="G31" i="1"/>
  <c r="H31" i="1"/>
  <c r="I31" i="1"/>
  <c r="C32" i="1"/>
  <c r="D32" i="1"/>
  <c r="E32" i="1"/>
  <c r="L32" i="1" s="1"/>
  <c r="F32" i="1"/>
  <c r="G32" i="1"/>
  <c r="H32" i="1"/>
  <c r="I32" i="1"/>
  <c r="C33" i="1"/>
  <c r="D33" i="1"/>
  <c r="E33" i="1"/>
  <c r="L33" i="1" s="1"/>
  <c r="F33" i="1"/>
  <c r="G33" i="1"/>
  <c r="H33" i="1"/>
  <c r="I33" i="1"/>
  <c r="C34" i="1"/>
  <c r="D34" i="1"/>
  <c r="E34" i="1"/>
  <c r="L34" i="1" s="1"/>
  <c r="F34" i="1"/>
  <c r="G34" i="1"/>
  <c r="H34" i="1"/>
  <c r="I34" i="1"/>
  <c r="C35" i="1"/>
  <c r="D35" i="1"/>
  <c r="E35" i="1"/>
  <c r="L35" i="1" s="1"/>
  <c r="F35" i="1"/>
  <c r="G35" i="1"/>
  <c r="H35" i="1"/>
  <c r="I35" i="1"/>
  <c r="C36" i="1"/>
  <c r="D36" i="1"/>
  <c r="E36" i="1"/>
  <c r="L36" i="1" s="1"/>
  <c r="F36" i="1"/>
  <c r="G36" i="1"/>
  <c r="H36" i="1"/>
  <c r="I36" i="1"/>
  <c r="C37" i="1"/>
  <c r="D37" i="1"/>
  <c r="E37" i="1"/>
  <c r="L37" i="1" s="1"/>
  <c r="F37" i="1"/>
  <c r="G37" i="1"/>
  <c r="H37" i="1"/>
  <c r="I37" i="1"/>
  <c r="C38" i="1"/>
  <c r="D38" i="1"/>
  <c r="E38" i="1"/>
  <c r="L38" i="1" s="1"/>
  <c r="F38" i="1"/>
  <c r="G38" i="1"/>
  <c r="H38" i="1"/>
  <c r="I38" i="1"/>
  <c r="C39" i="1"/>
  <c r="D39" i="1"/>
  <c r="E39" i="1"/>
  <c r="L39" i="1" s="1"/>
  <c r="F39" i="1"/>
  <c r="G39" i="1"/>
  <c r="H39" i="1"/>
  <c r="I39" i="1"/>
  <c r="C40" i="1"/>
  <c r="D40" i="1"/>
  <c r="E40" i="1"/>
  <c r="L40" i="1" s="1"/>
  <c r="F40" i="1"/>
  <c r="G40" i="1"/>
  <c r="H40" i="1"/>
  <c r="I40" i="1"/>
  <c r="C41" i="1"/>
  <c r="D41" i="1"/>
  <c r="E41" i="1"/>
  <c r="L41" i="1" s="1"/>
  <c r="F41" i="1"/>
  <c r="G41" i="1"/>
  <c r="H41" i="1"/>
  <c r="I41" i="1"/>
  <c r="C42" i="1"/>
  <c r="D42" i="1"/>
  <c r="E42" i="1"/>
  <c r="L42" i="1" s="1"/>
  <c r="F42" i="1"/>
  <c r="G42" i="1"/>
  <c r="H42" i="1"/>
  <c r="I42" i="1"/>
  <c r="C43" i="1"/>
  <c r="D43" i="1"/>
  <c r="E43" i="1"/>
  <c r="L43" i="1" s="1"/>
  <c r="F43" i="1"/>
  <c r="G43" i="1"/>
  <c r="H43" i="1"/>
  <c r="I43" i="1"/>
  <c r="C44" i="1"/>
  <c r="D44" i="1"/>
  <c r="E44" i="1"/>
  <c r="L44" i="1" s="1"/>
  <c r="F44" i="1"/>
  <c r="G44" i="1"/>
  <c r="H44" i="1"/>
  <c r="I44" i="1"/>
  <c r="C25" i="1"/>
  <c r="D25" i="1"/>
  <c r="E25" i="1"/>
  <c r="L25" i="1" s="1"/>
  <c r="F25" i="1"/>
  <c r="G25" i="1"/>
  <c r="H25" i="1"/>
  <c r="I25" i="1"/>
  <c r="B37" i="1"/>
  <c r="O37" i="1" s="1"/>
  <c r="B36" i="1"/>
  <c r="O36" i="1" s="1"/>
  <c r="B26" i="1"/>
  <c r="O26" i="1" s="1"/>
  <c r="B27" i="1"/>
  <c r="B28" i="1"/>
  <c r="O28" i="1" s="1"/>
  <c r="B29" i="1"/>
  <c r="O29" i="1" s="1"/>
  <c r="B30" i="1"/>
  <c r="O30" i="1" s="1"/>
  <c r="B31" i="1"/>
  <c r="O31" i="1" s="1"/>
  <c r="B32" i="1"/>
  <c r="O32" i="1" s="1"/>
  <c r="B33" i="1"/>
  <c r="O33" i="1" s="1"/>
  <c r="B34" i="1"/>
  <c r="O34" i="1" s="1"/>
  <c r="B35" i="1"/>
  <c r="O35" i="1" s="1"/>
  <c r="B38" i="1"/>
  <c r="O38" i="1" s="1"/>
  <c r="B39" i="1"/>
  <c r="O39" i="1" s="1"/>
  <c r="B40" i="1"/>
  <c r="O40" i="1" s="1"/>
  <c r="B41" i="1"/>
  <c r="O41" i="1" s="1"/>
  <c r="B42" i="1"/>
  <c r="O42" i="1" s="1"/>
  <c r="B43" i="1"/>
  <c r="O43" i="1" s="1"/>
  <c r="B44" i="1"/>
  <c r="O44" i="1" s="1"/>
  <c r="B45" i="1"/>
  <c r="B25" i="1"/>
  <c r="O25" i="1" s="1"/>
</calcChain>
</file>

<file path=xl/sharedStrings.xml><?xml version="1.0" encoding="utf-8"?>
<sst xmlns="http://schemas.openxmlformats.org/spreadsheetml/2006/main" count="61" uniqueCount="26">
  <si>
    <t>Дн, мм</t>
  </si>
  <si>
    <t>Цена по типам опор за шт с НДС 18%</t>
  </si>
  <si>
    <t>ББХЛ</t>
  </si>
  <si>
    <t>ББНХЛ</t>
  </si>
  <si>
    <t>БКХЛ70</t>
  </si>
  <si>
    <t>БКХЛ100</t>
  </si>
  <si>
    <t>БКХЛ150</t>
  </si>
  <si>
    <t>БКНХЛ70</t>
  </si>
  <si>
    <t>БКНХЛ100</t>
  </si>
  <si>
    <t>БКНХЛ150</t>
  </si>
  <si>
    <t>Стоимость ОПОР БУГЕЛЬНЫХ (Газснабинвест - ТУ 146882-01-00158675-2003) на 2014 год</t>
  </si>
  <si>
    <t xml:space="preserve">1шт. КТ1Н - 17,5%, </t>
  </si>
  <si>
    <t>2шт. КТ1 - на 15%,</t>
  </si>
  <si>
    <t>1шт. КТ1 - на 12.5%,</t>
  </si>
  <si>
    <t>2шт. КТ1Н - 20%,</t>
  </si>
  <si>
    <t>1шт. КТ1 1шт. КТ1Н - 18,5%</t>
  </si>
  <si>
    <t>Цена опоры (соответствующего типа) с кронштейнами типа КТ1, КТ1Н увеличивается следующим образом:</t>
  </si>
  <si>
    <t>Цена опоры (соответствующего типа) исполнения "-З/-ЗК" увеличивается на 500 руб.</t>
  </si>
  <si>
    <t>вес</t>
  </si>
  <si>
    <t>цена</t>
  </si>
  <si>
    <t>Цена за кг</t>
  </si>
  <si>
    <t>на 2013 год</t>
  </si>
  <si>
    <t>Стоимость ОПОР БУГЕЛЬНЫХ (Газснабинвест - ТУ 146882-01-00158675-2003) на 2008 год</t>
  </si>
  <si>
    <t>БКХЛ</t>
  </si>
  <si>
    <t>вес / факт</t>
  </si>
  <si>
    <t>руб/кг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</si>
</sst>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2"/>
  <sheetViews>
    <sheetView topLeftCell="A25" workbookViewId="0">
      <selection activeCell="D23" sqref="D23"/>
    </sheetView>
  </sheetViews>
  <sheetFormatPr defaultRowHeight="15" x14ac:dyDescent="0.25"/>
  <cols>
    <col min="6" max="6" width="8.7109375" bestFit="1" customWidth="1"/>
    <col min="7" max="7" width="9" bestFit="1" customWidth="1"/>
    <col min="8" max="9" width="10" bestFit="1" customWidth="1"/>
    <col min="12" max="12" width="10.140625" bestFit="1" customWidth="1"/>
    <col min="13" max="13" width="3" customWidth="1"/>
  </cols>
  <sheetData>
    <row r="1" spans="1:15" x14ac:dyDescent="0.25">
      <c r="A1" s="1" t="s">
        <v>22</v>
      </c>
    </row>
    <row r="2" spans="1:15" x14ac:dyDescent="0.25">
      <c r="A2" s="1"/>
      <c r="B2" t="s">
        <v>1</v>
      </c>
      <c r="L2" t="s">
        <v>20</v>
      </c>
      <c r="O2" t="s">
        <v>20</v>
      </c>
    </row>
    <row r="3" spans="1:15" x14ac:dyDescent="0.25">
      <c r="A3" s="3" t="s">
        <v>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K3" s="2" t="s">
        <v>18</v>
      </c>
      <c r="L3" s="2" t="s">
        <v>23</v>
      </c>
      <c r="M3" s="2"/>
      <c r="O3" s="2" t="s">
        <v>2</v>
      </c>
    </row>
    <row r="4" spans="1:15" x14ac:dyDescent="0.25">
      <c r="A4" s="3">
        <v>32</v>
      </c>
      <c r="B4">
        <v>1853</v>
      </c>
      <c r="C4">
        <v>2038</v>
      </c>
      <c r="D4">
        <v>2353</v>
      </c>
      <c r="E4">
        <v>2410</v>
      </c>
      <c r="F4">
        <v>2470</v>
      </c>
      <c r="G4">
        <v>2353</v>
      </c>
      <c r="H4">
        <v>2410</v>
      </c>
      <c r="I4">
        <v>2470</v>
      </c>
      <c r="K4" s="5">
        <v>1.2</v>
      </c>
      <c r="L4" s="6">
        <f>E4/K4</f>
        <v>2008.3333333333335</v>
      </c>
      <c r="M4" s="6"/>
      <c r="N4" s="5">
        <v>1.1000000000000001</v>
      </c>
      <c r="O4" s="6">
        <f>B4/N4</f>
        <v>1684.5454545454545</v>
      </c>
    </row>
    <row r="5" spans="1:15" x14ac:dyDescent="0.25">
      <c r="A5" s="3">
        <v>57</v>
      </c>
      <c r="B5">
        <v>2770</v>
      </c>
      <c r="C5">
        <v>3047</v>
      </c>
      <c r="D5">
        <v>3426</v>
      </c>
      <c r="E5">
        <v>3514</v>
      </c>
      <c r="F5">
        <v>3600</v>
      </c>
      <c r="G5">
        <v>3426</v>
      </c>
      <c r="H5">
        <v>3514</v>
      </c>
      <c r="I5">
        <v>3600</v>
      </c>
      <c r="K5" s="5">
        <v>2</v>
      </c>
      <c r="L5" s="6">
        <f t="shared" ref="L5:L44" si="0">E5/K5</f>
        <v>1757</v>
      </c>
      <c r="M5" s="6"/>
      <c r="N5" s="5">
        <v>1.6</v>
      </c>
      <c r="O5" s="6">
        <f t="shared" ref="O5:O44" si="1">B5/N5</f>
        <v>1731.25</v>
      </c>
    </row>
    <row r="6" spans="1:15" x14ac:dyDescent="0.25">
      <c r="A6" s="3">
        <v>76</v>
      </c>
      <c r="B6">
        <v>3118</v>
      </c>
      <c r="C6">
        <v>3350</v>
      </c>
      <c r="D6">
        <v>3975</v>
      </c>
      <c r="E6">
        <v>4087</v>
      </c>
      <c r="F6">
        <v>4201</v>
      </c>
      <c r="G6">
        <v>3975</v>
      </c>
      <c r="H6">
        <v>4087</v>
      </c>
      <c r="I6">
        <v>4201</v>
      </c>
      <c r="K6" s="5">
        <v>2.2999999999999998</v>
      </c>
      <c r="L6" s="6">
        <f t="shared" si="0"/>
        <v>1776.9565217391305</v>
      </c>
      <c r="M6" s="6"/>
      <c r="N6" s="5"/>
      <c r="O6" s="6"/>
    </row>
    <row r="7" spans="1:15" x14ac:dyDescent="0.25">
      <c r="A7" s="3">
        <v>89</v>
      </c>
      <c r="B7">
        <v>3647</v>
      </c>
      <c r="C7">
        <v>4012</v>
      </c>
      <c r="D7">
        <v>4516</v>
      </c>
      <c r="E7">
        <v>4630</v>
      </c>
      <c r="F7">
        <v>4745</v>
      </c>
      <c r="G7">
        <v>4516</v>
      </c>
      <c r="H7">
        <v>4630</v>
      </c>
      <c r="I7">
        <v>4745</v>
      </c>
      <c r="K7" s="5">
        <v>2.5</v>
      </c>
      <c r="L7" s="6">
        <f t="shared" si="0"/>
        <v>1852</v>
      </c>
      <c r="M7" s="6"/>
      <c r="N7" s="5">
        <v>2</v>
      </c>
      <c r="O7" s="6">
        <f t="shared" si="1"/>
        <v>1823.5</v>
      </c>
    </row>
    <row r="8" spans="1:15" x14ac:dyDescent="0.25">
      <c r="A8" s="3">
        <v>108</v>
      </c>
      <c r="B8">
        <v>4586</v>
      </c>
      <c r="C8">
        <v>5048</v>
      </c>
      <c r="D8">
        <v>5674</v>
      </c>
      <c r="E8">
        <v>5818</v>
      </c>
      <c r="F8">
        <v>5965</v>
      </c>
      <c r="G8">
        <v>5674</v>
      </c>
      <c r="H8">
        <v>5818</v>
      </c>
      <c r="I8">
        <v>5965</v>
      </c>
      <c r="K8" s="5">
        <v>5.8</v>
      </c>
      <c r="L8" s="6">
        <f t="shared" si="0"/>
        <v>1003.1034482758621</v>
      </c>
      <c r="M8" s="6"/>
      <c r="N8" s="5">
        <v>3.4</v>
      </c>
      <c r="O8" s="6">
        <f t="shared" si="1"/>
        <v>1348.8235294117646</v>
      </c>
    </row>
    <row r="9" spans="1:15" x14ac:dyDescent="0.25">
      <c r="A9" s="3">
        <v>114</v>
      </c>
      <c r="B9">
        <v>4722</v>
      </c>
      <c r="C9">
        <v>5198</v>
      </c>
      <c r="D9">
        <v>7023</v>
      </c>
      <c r="E9">
        <v>7322</v>
      </c>
      <c r="F9">
        <v>7626</v>
      </c>
      <c r="G9">
        <v>7023</v>
      </c>
      <c r="H9">
        <v>7322</v>
      </c>
      <c r="I9">
        <v>7626</v>
      </c>
      <c r="K9" s="5">
        <v>5.6</v>
      </c>
      <c r="L9" s="6">
        <f t="shared" si="0"/>
        <v>1307.5</v>
      </c>
      <c r="M9" s="6"/>
      <c r="N9" s="5">
        <v>3.5</v>
      </c>
      <c r="O9" s="6">
        <f t="shared" si="1"/>
        <v>1349.1428571428571</v>
      </c>
    </row>
    <row r="10" spans="1:15" x14ac:dyDescent="0.25">
      <c r="A10" s="3">
        <v>127</v>
      </c>
      <c r="B10">
        <v>7570</v>
      </c>
      <c r="C10">
        <v>8328</v>
      </c>
      <c r="D10">
        <v>9110</v>
      </c>
      <c r="E10">
        <v>9309</v>
      </c>
      <c r="F10">
        <v>9510</v>
      </c>
      <c r="G10">
        <v>9110</v>
      </c>
      <c r="H10">
        <v>9309</v>
      </c>
      <c r="I10">
        <v>9510</v>
      </c>
      <c r="K10" s="5">
        <v>7.8</v>
      </c>
      <c r="L10" s="6">
        <f t="shared" si="0"/>
        <v>1193.4615384615386</v>
      </c>
      <c r="M10" s="6"/>
      <c r="N10" s="5">
        <v>5.7</v>
      </c>
      <c r="O10" s="6">
        <f t="shared" si="1"/>
        <v>1328.0701754385964</v>
      </c>
    </row>
    <row r="11" spans="1:15" x14ac:dyDescent="0.25">
      <c r="A11" s="3">
        <v>133</v>
      </c>
      <c r="B11">
        <v>7700</v>
      </c>
      <c r="C11">
        <v>8475</v>
      </c>
      <c r="D11">
        <v>9604</v>
      </c>
      <c r="E11">
        <v>9849</v>
      </c>
      <c r="F11">
        <v>10101</v>
      </c>
      <c r="G11">
        <v>9604</v>
      </c>
      <c r="H11">
        <v>9849</v>
      </c>
      <c r="I11">
        <v>10101</v>
      </c>
      <c r="K11" s="5">
        <v>8.1</v>
      </c>
      <c r="L11" s="6">
        <f t="shared" si="0"/>
        <v>1215.9259259259259</v>
      </c>
      <c r="M11" s="6"/>
      <c r="N11" s="5">
        <v>5.8</v>
      </c>
      <c r="O11" s="6">
        <f t="shared" si="1"/>
        <v>1327.5862068965519</v>
      </c>
    </row>
    <row r="12" spans="1:15" x14ac:dyDescent="0.25">
      <c r="A12" s="3">
        <v>159</v>
      </c>
      <c r="B12">
        <v>8071</v>
      </c>
      <c r="C12">
        <v>8878</v>
      </c>
      <c r="D12">
        <v>9985</v>
      </c>
      <c r="E12">
        <v>10239</v>
      </c>
      <c r="F12">
        <v>10493</v>
      </c>
      <c r="G12">
        <v>9985</v>
      </c>
      <c r="H12">
        <v>10239</v>
      </c>
      <c r="I12">
        <v>10493</v>
      </c>
      <c r="K12" s="5">
        <v>9.1</v>
      </c>
      <c r="L12" s="6">
        <f t="shared" si="0"/>
        <v>1125.1648351648353</v>
      </c>
      <c r="M12" s="6"/>
      <c r="N12" s="5">
        <v>6.5</v>
      </c>
      <c r="O12" s="6">
        <f t="shared" si="1"/>
        <v>1241.6923076923076</v>
      </c>
    </row>
    <row r="13" spans="1:15" x14ac:dyDescent="0.25">
      <c r="A13" s="3">
        <v>168</v>
      </c>
      <c r="B13">
        <v>8815</v>
      </c>
      <c r="C13">
        <v>9698</v>
      </c>
      <c r="D13">
        <v>10685</v>
      </c>
      <c r="E13">
        <v>10928</v>
      </c>
      <c r="F13">
        <v>11179</v>
      </c>
      <c r="G13">
        <v>10685</v>
      </c>
      <c r="H13">
        <v>10928</v>
      </c>
      <c r="I13">
        <v>11179</v>
      </c>
      <c r="K13" s="5">
        <v>9.6</v>
      </c>
      <c r="L13" s="6">
        <f t="shared" si="0"/>
        <v>1138.3333333333335</v>
      </c>
      <c r="M13" s="6"/>
      <c r="N13" s="5">
        <v>7.1</v>
      </c>
      <c r="O13" s="6">
        <f t="shared" si="1"/>
        <v>1241.549295774648</v>
      </c>
    </row>
    <row r="14" spans="1:15" x14ac:dyDescent="0.25">
      <c r="A14" s="3">
        <v>219</v>
      </c>
      <c r="B14">
        <v>12456</v>
      </c>
      <c r="C14">
        <v>13703</v>
      </c>
      <c r="D14">
        <v>15418</v>
      </c>
      <c r="E14">
        <v>15800</v>
      </c>
      <c r="F14">
        <v>16194</v>
      </c>
      <c r="G14">
        <v>15418</v>
      </c>
      <c r="H14">
        <v>15800</v>
      </c>
      <c r="I14">
        <v>16194</v>
      </c>
      <c r="K14" s="5">
        <v>24</v>
      </c>
      <c r="L14" s="6">
        <f t="shared" si="0"/>
        <v>658.33333333333337</v>
      </c>
      <c r="M14" s="6"/>
      <c r="N14" s="5">
        <v>15.7</v>
      </c>
      <c r="O14" s="6">
        <f t="shared" si="1"/>
        <v>793.37579617834399</v>
      </c>
    </row>
    <row r="15" spans="1:15" x14ac:dyDescent="0.25">
      <c r="A15" s="3">
        <v>273</v>
      </c>
      <c r="B15">
        <v>13857</v>
      </c>
      <c r="C15">
        <v>15243</v>
      </c>
      <c r="D15">
        <v>17662</v>
      </c>
      <c r="E15">
        <v>18157</v>
      </c>
      <c r="F15">
        <v>18664</v>
      </c>
      <c r="G15">
        <v>17662</v>
      </c>
      <c r="H15">
        <v>18157</v>
      </c>
      <c r="I15">
        <v>18664</v>
      </c>
      <c r="K15" s="5">
        <v>30.1</v>
      </c>
      <c r="L15" s="6">
        <f t="shared" si="0"/>
        <v>603.2225913621262</v>
      </c>
      <c r="M15" s="6"/>
      <c r="N15" s="5">
        <v>25.6</v>
      </c>
      <c r="O15" s="6">
        <f t="shared" si="1"/>
        <v>541.2890625</v>
      </c>
    </row>
    <row r="16" spans="1:15" x14ac:dyDescent="0.25">
      <c r="A16" s="3">
        <v>325</v>
      </c>
      <c r="B16">
        <v>16440</v>
      </c>
      <c r="C16">
        <v>18086</v>
      </c>
      <c r="D16">
        <v>20342</v>
      </c>
      <c r="E16">
        <v>20852</v>
      </c>
      <c r="F16">
        <v>21372</v>
      </c>
      <c r="G16">
        <v>20342</v>
      </c>
      <c r="H16">
        <v>20852</v>
      </c>
      <c r="I16">
        <v>21372</v>
      </c>
      <c r="K16" s="5">
        <v>45.7</v>
      </c>
      <c r="L16" s="6">
        <f t="shared" si="0"/>
        <v>456.28008752735229</v>
      </c>
      <c r="M16" s="6"/>
      <c r="N16" s="5">
        <v>28</v>
      </c>
      <c r="O16" s="6">
        <f t="shared" si="1"/>
        <v>587.14285714285711</v>
      </c>
    </row>
    <row r="17" spans="1:15" x14ac:dyDescent="0.25">
      <c r="A17" s="3">
        <v>377</v>
      </c>
      <c r="B17">
        <v>19825</v>
      </c>
      <c r="C17">
        <v>21808</v>
      </c>
      <c r="D17">
        <v>23513</v>
      </c>
      <c r="E17">
        <v>23996</v>
      </c>
      <c r="F17">
        <v>24489</v>
      </c>
      <c r="G17">
        <v>23513</v>
      </c>
      <c r="H17">
        <v>23996</v>
      </c>
      <c r="I17">
        <v>24489</v>
      </c>
      <c r="K17" s="5">
        <v>66</v>
      </c>
      <c r="L17" s="6">
        <f t="shared" si="0"/>
        <v>363.57575757575756</v>
      </c>
      <c r="M17" s="6"/>
      <c r="N17" s="5">
        <v>51</v>
      </c>
      <c r="O17" s="6">
        <f t="shared" si="1"/>
        <v>388.72549019607845</v>
      </c>
    </row>
    <row r="18" spans="1:15" x14ac:dyDescent="0.25">
      <c r="A18" s="3">
        <v>426</v>
      </c>
      <c r="B18">
        <v>22687</v>
      </c>
      <c r="C18">
        <v>24958</v>
      </c>
      <c r="D18">
        <v>28074</v>
      </c>
      <c r="E18">
        <v>28775</v>
      </c>
      <c r="F18">
        <v>29493</v>
      </c>
      <c r="G18">
        <v>28074</v>
      </c>
      <c r="H18">
        <v>28775</v>
      </c>
      <c r="I18">
        <v>29493</v>
      </c>
      <c r="K18" s="5">
        <v>76.099999999999994</v>
      </c>
      <c r="L18" s="6">
        <f t="shared" si="0"/>
        <v>378.12089356110386</v>
      </c>
      <c r="M18" s="6"/>
      <c r="N18" s="5">
        <v>59</v>
      </c>
      <c r="O18" s="6">
        <f t="shared" si="1"/>
        <v>384.52542372881356</v>
      </c>
    </row>
    <row r="19" spans="1:15" x14ac:dyDescent="0.25">
      <c r="A19" s="3">
        <v>530</v>
      </c>
      <c r="B19">
        <v>29895</v>
      </c>
      <c r="C19">
        <v>32884</v>
      </c>
      <c r="D19">
        <v>36991</v>
      </c>
      <c r="E19">
        <v>37917</v>
      </c>
      <c r="F19">
        <v>38864</v>
      </c>
      <c r="G19">
        <v>36991</v>
      </c>
      <c r="H19">
        <v>37917</v>
      </c>
      <c r="I19">
        <v>38864</v>
      </c>
      <c r="K19" s="5">
        <v>89</v>
      </c>
      <c r="L19" s="6">
        <f t="shared" si="0"/>
        <v>426.03370786516854</v>
      </c>
      <c r="M19" s="6"/>
      <c r="N19" s="5">
        <v>71</v>
      </c>
      <c r="O19" s="6">
        <f t="shared" si="1"/>
        <v>421.05633802816902</v>
      </c>
    </row>
    <row r="20" spans="1:15" x14ac:dyDescent="0.25">
      <c r="A20" s="3">
        <v>720</v>
      </c>
      <c r="B20">
        <v>35291</v>
      </c>
      <c r="C20">
        <v>38820</v>
      </c>
      <c r="D20">
        <v>43671</v>
      </c>
      <c r="E20">
        <v>44759</v>
      </c>
      <c r="F20">
        <v>45877</v>
      </c>
      <c r="G20">
        <v>43671</v>
      </c>
      <c r="H20">
        <v>44759</v>
      </c>
      <c r="I20">
        <v>45877</v>
      </c>
      <c r="K20" s="5">
        <v>129.4</v>
      </c>
      <c r="L20" s="6">
        <f t="shared" si="0"/>
        <v>345.89644513137557</v>
      </c>
      <c r="M20" s="6"/>
      <c r="N20" s="5">
        <v>106</v>
      </c>
      <c r="O20" s="6">
        <f t="shared" si="1"/>
        <v>332.93396226415092</v>
      </c>
    </row>
    <row r="21" spans="1:15" x14ac:dyDescent="0.25">
      <c r="A21" s="3">
        <v>1020</v>
      </c>
      <c r="B21">
        <v>47301</v>
      </c>
      <c r="C21">
        <v>52029</v>
      </c>
      <c r="D21">
        <v>58529</v>
      </c>
      <c r="E21">
        <v>59989</v>
      </c>
      <c r="F21">
        <v>61490</v>
      </c>
      <c r="G21">
        <v>58529</v>
      </c>
      <c r="H21">
        <v>59989</v>
      </c>
      <c r="I21">
        <v>61490</v>
      </c>
      <c r="K21" s="5">
        <v>248</v>
      </c>
      <c r="L21" s="6">
        <f t="shared" si="0"/>
        <v>241.89112903225808</v>
      </c>
      <c r="M21" s="6"/>
      <c r="N21" s="5">
        <v>204</v>
      </c>
      <c r="O21" s="6">
        <f t="shared" si="1"/>
        <v>231.86764705882354</v>
      </c>
    </row>
    <row r="22" spans="1:15" x14ac:dyDescent="0.25">
      <c r="A22" s="3">
        <v>1220</v>
      </c>
      <c r="B22">
        <v>55009</v>
      </c>
      <c r="C22">
        <v>60512</v>
      </c>
      <c r="D22">
        <v>67361</v>
      </c>
      <c r="E22">
        <v>68970</v>
      </c>
      <c r="F22">
        <v>70617</v>
      </c>
      <c r="G22">
        <v>67361</v>
      </c>
      <c r="H22">
        <v>68970</v>
      </c>
      <c r="I22">
        <v>70617</v>
      </c>
      <c r="K22" s="5">
        <v>263</v>
      </c>
      <c r="L22" s="6">
        <f t="shared" si="0"/>
        <v>262.24334600760454</v>
      </c>
      <c r="M22" s="6"/>
      <c r="N22" s="5">
        <v>225</v>
      </c>
      <c r="O22" s="6">
        <f t="shared" si="1"/>
        <v>244.48444444444445</v>
      </c>
    </row>
    <row r="23" spans="1:15" x14ac:dyDescent="0.25">
      <c r="A23" s="3">
        <v>1420</v>
      </c>
      <c r="B23">
        <v>84727</v>
      </c>
      <c r="C23">
        <v>93197</v>
      </c>
      <c r="D23">
        <v>92720</v>
      </c>
      <c r="E23">
        <v>93772</v>
      </c>
      <c r="F23">
        <v>94836</v>
      </c>
      <c r="G23">
        <v>92720</v>
      </c>
      <c r="H23">
        <v>93772</v>
      </c>
      <c r="I23">
        <v>94836</v>
      </c>
      <c r="K23" s="5">
        <v>280</v>
      </c>
      <c r="L23" s="6">
        <f t="shared" si="0"/>
        <v>334.9</v>
      </c>
      <c r="M23" s="6"/>
      <c r="N23" s="5">
        <v>258</v>
      </c>
      <c r="O23" s="6">
        <f t="shared" si="1"/>
        <v>328.39922480620157</v>
      </c>
    </row>
    <row r="24" spans="1:15" x14ac:dyDescent="0.25">
      <c r="A24" s="13" t="s">
        <v>21</v>
      </c>
      <c r="B24" s="13"/>
      <c r="C24" s="13"/>
      <c r="D24" s="13"/>
      <c r="E24" s="13"/>
      <c r="F24" s="13"/>
      <c r="G24" s="13"/>
      <c r="H24" s="13"/>
      <c r="I24" s="13"/>
      <c r="L24" s="6"/>
      <c r="M24" s="6"/>
      <c r="O24" s="6"/>
    </row>
    <row r="25" spans="1:15" x14ac:dyDescent="0.25">
      <c r="A25" s="3">
        <v>32</v>
      </c>
      <c r="B25">
        <f>B4*1.2</f>
        <v>2223.6</v>
      </c>
      <c r="C25">
        <f t="shared" ref="C25:I25" si="2">C4*1.2</f>
        <v>2445.6</v>
      </c>
      <c r="D25">
        <f t="shared" si="2"/>
        <v>2823.6</v>
      </c>
      <c r="E25">
        <f t="shared" si="2"/>
        <v>2892</v>
      </c>
      <c r="F25">
        <f t="shared" si="2"/>
        <v>2964</v>
      </c>
      <c r="G25">
        <f t="shared" si="2"/>
        <v>2823.6</v>
      </c>
      <c r="H25">
        <f t="shared" si="2"/>
        <v>2892</v>
      </c>
      <c r="I25">
        <f t="shared" si="2"/>
        <v>2964</v>
      </c>
      <c r="K25" s="5">
        <v>1.2</v>
      </c>
      <c r="L25" s="6">
        <f t="shared" si="0"/>
        <v>2410</v>
      </c>
      <c r="M25" s="6"/>
      <c r="N25" s="5">
        <v>1.1000000000000001</v>
      </c>
      <c r="O25" s="6">
        <f t="shared" si="1"/>
        <v>2021.4545454545453</v>
      </c>
    </row>
    <row r="26" spans="1:15" x14ac:dyDescent="0.25">
      <c r="A26" s="3">
        <v>57</v>
      </c>
      <c r="B26">
        <f t="shared" ref="B26:I45" si="3">B5*1.2</f>
        <v>3324</v>
      </c>
      <c r="C26">
        <f t="shared" si="3"/>
        <v>3656.4</v>
      </c>
      <c r="D26">
        <f t="shared" si="3"/>
        <v>4111.2</v>
      </c>
      <c r="E26">
        <f t="shared" si="3"/>
        <v>4216.8</v>
      </c>
      <c r="F26">
        <f t="shared" si="3"/>
        <v>4320</v>
      </c>
      <c r="G26">
        <f t="shared" si="3"/>
        <v>4111.2</v>
      </c>
      <c r="H26">
        <f t="shared" si="3"/>
        <v>4216.8</v>
      </c>
      <c r="I26">
        <f t="shared" si="3"/>
        <v>4320</v>
      </c>
      <c r="K26" s="5">
        <v>2</v>
      </c>
      <c r="L26" s="6">
        <f t="shared" si="0"/>
        <v>2108.4</v>
      </c>
      <c r="M26" s="6"/>
      <c r="N26" s="5">
        <v>1.6</v>
      </c>
      <c r="O26" s="6">
        <f t="shared" si="1"/>
        <v>2077.5</v>
      </c>
    </row>
    <row r="27" spans="1:15" x14ac:dyDescent="0.25">
      <c r="A27" s="3">
        <v>76</v>
      </c>
      <c r="B27">
        <f t="shared" si="3"/>
        <v>3741.6</v>
      </c>
      <c r="C27">
        <f t="shared" si="3"/>
        <v>4020</v>
      </c>
      <c r="D27">
        <f t="shared" si="3"/>
        <v>4770</v>
      </c>
      <c r="E27">
        <f t="shared" si="3"/>
        <v>4904.3999999999996</v>
      </c>
      <c r="F27">
        <f t="shared" si="3"/>
        <v>5041.2</v>
      </c>
      <c r="G27">
        <f t="shared" si="3"/>
        <v>4770</v>
      </c>
      <c r="H27">
        <f t="shared" si="3"/>
        <v>4904.3999999999996</v>
      </c>
      <c r="I27">
        <f t="shared" si="3"/>
        <v>5041.2</v>
      </c>
      <c r="K27" s="5">
        <v>2.2999999999999998</v>
      </c>
      <c r="L27" s="6">
        <f t="shared" si="0"/>
        <v>2132.3478260869565</v>
      </c>
      <c r="M27" s="6"/>
      <c r="N27" s="5"/>
      <c r="O27" s="6"/>
    </row>
    <row r="28" spans="1:15" x14ac:dyDescent="0.25">
      <c r="A28" s="3">
        <v>89</v>
      </c>
      <c r="B28">
        <f t="shared" si="3"/>
        <v>4376.3999999999996</v>
      </c>
      <c r="C28">
        <f t="shared" si="3"/>
        <v>4814.3999999999996</v>
      </c>
      <c r="D28">
        <f t="shared" si="3"/>
        <v>5419.2</v>
      </c>
      <c r="E28">
        <f t="shared" si="3"/>
        <v>5556</v>
      </c>
      <c r="F28">
        <f t="shared" si="3"/>
        <v>5694</v>
      </c>
      <c r="G28">
        <f t="shared" si="3"/>
        <v>5419.2</v>
      </c>
      <c r="H28">
        <f t="shared" si="3"/>
        <v>5556</v>
      </c>
      <c r="I28">
        <f t="shared" si="3"/>
        <v>5694</v>
      </c>
      <c r="K28" s="5">
        <v>2.5</v>
      </c>
      <c r="L28" s="6">
        <f t="shared" si="0"/>
        <v>2222.4</v>
      </c>
      <c r="M28" s="6"/>
      <c r="N28" s="5">
        <v>2</v>
      </c>
      <c r="O28" s="6">
        <f t="shared" si="1"/>
        <v>2188.1999999999998</v>
      </c>
    </row>
    <row r="29" spans="1:15" x14ac:dyDescent="0.25">
      <c r="A29" s="3">
        <v>108</v>
      </c>
      <c r="B29">
        <f t="shared" si="3"/>
        <v>5503.2</v>
      </c>
      <c r="C29">
        <f t="shared" si="3"/>
        <v>6057.5999999999995</v>
      </c>
      <c r="D29">
        <f t="shared" si="3"/>
        <v>6808.8</v>
      </c>
      <c r="E29">
        <f t="shared" si="3"/>
        <v>6981.5999999999995</v>
      </c>
      <c r="F29">
        <f t="shared" si="3"/>
        <v>7158</v>
      </c>
      <c r="G29">
        <f t="shared" si="3"/>
        <v>6808.8</v>
      </c>
      <c r="H29">
        <f t="shared" si="3"/>
        <v>6981.5999999999995</v>
      </c>
      <c r="I29">
        <f t="shared" si="3"/>
        <v>7158</v>
      </c>
      <c r="K29" s="5">
        <v>5.8</v>
      </c>
      <c r="L29" s="6">
        <f t="shared" si="0"/>
        <v>1203.7241379310344</v>
      </c>
      <c r="M29" s="6"/>
      <c r="N29" s="5">
        <v>3.4</v>
      </c>
      <c r="O29" s="6">
        <f t="shared" si="1"/>
        <v>1618.5882352941176</v>
      </c>
    </row>
    <row r="30" spans="1:15" x14ac:dyDescent="0.25">
      <c r="A30" s="3">
        <v>114</v>
      </c>
      <c r="B30">
        <f t="shared" si="3"/>
        <v>5666.4</v>
      </c>
      <c r="C30">
        <f t="shared" si="3"/>
        <v>6237.5999999999995</v>
      </c>
      <c r="D30">
        <f t="shared" si="3"/>
        <v>8427.6</v>
      </c>
      <c r="E30">
        <f t="shared" si="3"/>
        <v>8786.4</v>
      </c>
      <c r="F30">
        <f t="shared" si="3"/>
        <v>9151.1999999999989</v>
      </c>
      <c r="G30">
        <f t="shared" si="3"/>
        <v>8427.6</v>
      </c>
      <c r="H30">
        <f t="shared" si="3"/>
        <v>8786.4</v>
      </c>
      <c r="I30">
        <f t="shared" si="3"/>
        <v>9151.1999999999989</v>
      </c>
      <c r="K30" s="5">
        <v>5.6</v>
      </c>
      <c r="L30" s="6">
        <f t="shared" si="0"/>
        <v>1569</v>
      </c>
      <c r="M30" s="6"/>
      <c r="N30" s="5">
        <v>3.5</v>
      </c>
      <c r="O30" s="6">
        <f t="shared" si="1"/>
        <v>1618.9714285714285</v>
      </c>
    </row>
    <row r="31" spans="1:15" x14ac:dyDescent="0.25">
      <c r="A31" s="3">
        <v>127</v>
      </c>
      <c r="B31">
        <f t="shared" si="3"/>
        <v>9084</v>
      </c>
      <c r="C31">
        <f t="shared" si="3"/>
        <v>9993.6</v>
      </c>
      <c r="D31">
        <f t="shared" si="3"/>
        <v>10932</v>
      </c>
      <c r="E31">
        <f t="shared" si="3"/>
        <v>11170.8</v>
      </c>
      <c r="F31">
        <f t="shared" si="3"/>
        <v>11412</v>
      </c>
      <c r="G31">
        <f t="shared" si="3"/>
        <v>10932</v>
      </c>
      <c r="H31">
        <f t="shared" si="3"/>
        <v>11170.8</v>
      </c>
      <c r="I31">
        <f t="shared" si="3"/>
        <v>11412</v>
      </c>
      <c r="K31" s="5">
        <v>7.8</v>
      </c>
      <c r="L31" s="6">
        <f t="shared" si="0"/>
        <v>1432.1538461538462</v>
      </c>
      <c r="M31" s="6"/>
      <c r="N31" s="5">
        <v>5.7</v>
      </c>
      <c r="O31" s="6">
        <f t="shared" si="1"/>
        <v>1593.6842105263158</v>
      </c>
    </row>
    <row r="32" spans="1:15" x14ac:dyDescent="0.25">
      <c r="A32" s="3">
        <v>133</v>
      </c>
      <c r="B32">
        <f t="shared" si="3"/>
        <v>9240</v>
      </c>
      <c r="C32">
        <f t="shared" si="3"/>
        <v>10170</v>
      </c>
      <c r="D32">
        <f t="shared" si="3"/>
        <v>11524.8</v>
      </c>
      <c r="E32">
        <f t="shared" si="3"/>
        <v>11818.8</v>
      </c>
      <c r="F32">
        <f t="shared" si="3"/>
        <v>12121.199999999999</v>
      </c>
      <c r="G32">
        <f t="shared" si="3"/>
        <v>11524.8</v>
      </c>
      <c r="H32">
        <f t="shared" si="3"/>
        <v>11818.8</v>
      </c>
      <c r="I32">
        <f t="shared" si="3"/>
        <v>12121.199999999999</v>
      </c>
      <c r="K32" s="5">
        <v>8.1</v>
      </c>
      <c r="L32" s="6">
        <f t="shared" si="0"/>
        <v>1459.1111111111111</v>
      </c>
      <c r="M32" s="6"/>
      <c r="N32" s="5">
        <v>5.8</v>
      </c>
      <c r="O32" s="6">
        <f t="shared" si="1"/>
        <v>1593.1034482758621</v>
      </c>
    </row>
    <row r="33" spans="1:15" x14ac:dyDescent="0.25">
      <c r="A33" s="3">
        <v>159</v>
      </c>
      <c r="B33">
        <f t="shared" si="3"/>
        <v>9685.1999999999989</v>
      </c>
      <c r="C33">
        <f t="shared" si="3"/>
        <v>10653.6</v>
      </c>
      <c r="D33">
        <f t="shared" si="3"/>
        <v>11982</v>
      </c>
      <c r="E33">
        <f t="shared" si="3"/>
        <v>12286.8</v>
      </c>
      <c r="F33">
        <f t="shared" si="3"/>
        <v>12591.6</v>
      </c>
      <c r="G33">
        <f t="shared" si="3"/>
        <v>11982</v>
      </c>
      <c r="H33">
        <f t="shared" si="3"/>
        <v>12286.8</v>
      </c>
      <c r="I33">
        <f t="shared" si="3"/>
        <v>12591.6</v>
      </c>
      <c r="K33" s="5">
        <v>9.1</v>
      </c>
      <c r="L33" s="6">
        <f t="shared" si="0"/>
        <v>1350.1978021978023</v>
      </c>
      <c r="M33" s="6"/>
      <c r="N33" s="5">
        <v>6.5</v>
      </c>
      <c r="O33" s="6">
        <f t="shared" si="1"/>
        <v>1490.030769230769</v>
      </c>
    </row>
    <row r="34" spans="1:15" x14ac:dyDescent="0.25">
      <c r="A34" s="3">
        <v>168</v>
      </c>
      <c r="B34">
        <f t="shared" si="3"/>
        <v>10578</v>
      </c>
      <c r="C34">
        <f t="shared" si="3"/>
        <v>11637.6</v>
      </c>
      <c r="D34">
        <f t="shared" si="3"/>
        <v>12822</v>
      </c>
      <c r="E34">
        <f t="shared" si="3"/>
        <v>13113.6</v>
      </c>
      <c r="F34">
        <f t="shared" si="3"/>
        <v>13414.8</v>
      </c>
      <c r="G34">
        <f t="shared" si="3"/>
        <v>12822</v>
      </c>
      <c r="H34">
        <f t="shared" si="3"/>
        <v>13113.6</v>
      </c>
      <c r="I34">
        <f t="shared" si="3"/>
        <v>13414.8</v>
      </c>
      <c r="K34" s="5">
        <v>9.6</v>
      </c>
      <c r="L34" s="6">
        <f t="shared" si="0"/>
        <v>1366</v>
      </c>
      <c r="M34" s="6"/>
      <c r="N34" s="5">
        <v>7.1</v>
      </c>
      <c r="O34" s="6">
        <f t="shared" si="1"/>
        <v>1489.8591549295775</v>
      </c>
    </row>
    <row r="35" spans="1:15" x14ac:dyDescent="0.25">
      <c r="A35" s="3">
        <v>219</v>
      </c>
      <c r="B35">
        <f t="shared" si="3"/>
        <v>14947.199999999999</v>
      </c>
      <c r="C35">
        <f t="shared" si="3"/>
        <v>16443.599999999999</v>
      </c>
      <c r="D35">
        <f t="shared" si="3"/>
        <v>18501.599999999999</v>
      </c>
      <c r="E35">
        <f t="shared" si="3"/>
        <v>18960</v>
      </c>
      <c r="F35">
        <f t="shared" si="3"/>
        <v>19432.8</v>
      </c>
      <c r="G35">
        <f t="shared" si="3"/>
        <v>18501.599999999999</v>
      </c>
      <c r="H35">
        <f t="shared" si="3"/>
        <v>18960</v>
      </c>
      <c r="I35">
        <f t="shared" si="3"/>
        <v>19432.8</v>
      </c>
      <c r="K35" s="5">
        <v>24</v>
      </c>
      <c r="L35" s="6">
        <f t="shared" si="0"/>
        <v>790</v>
      </c>
      <c r="M35" s="6"/>
      <c r="N35" s="5">
        <v>15.7</v>
      </c>
      <c r="O35" s="6">
        <f t="shared" si="1"/>
        <v>952.05095541401272</v>
      </c>
    </row>
    <row r="36" spans="1:15" x14ac:dyDescent="0.25">
      <c r="A36" s="3">
        <v>273</v>
      </c>
      <c r="B36">
        <f>B15*1.2</f>
        <v>16628.399999999998</v>
      </c>
      <c r="C36">
        <f t="shared" ref="C36:I36" si="4">C15*1.2</f>
        <v>18291.599999999999</v>
      </c>
      <c r="D36">
        <f t="shared" si="4"/>
        <v>21194.399999999998</v>
      </c>
      <c r="E36">
        <f t="shared" si="4"/>
        <v>21788.399999999998</v>
      </c>
      <c r="F36">
        <f t="shared" si="4"/>
        <v>22396.799999999999</v>
      </c>
      <c r="G36">
        <f t="shared" si="4"/>
        <v>21194.399999999998</v>
      </c>
      <c r="H36">
        <f t="shared" si="4"/>
        <v>21788.399999999998</v>
      </c>
      <c r="I36">
        <f t="shared" si="4"/>
        <v>22396.799999999999</v>
      </c>
      <c r="K36" s="5">
        <v>30.1</v>
      </c>
      <c r="L36" s="6">
        <f t="shared" si="0"/>
        <v>723.86710963455141</v>
      </c>
      <c r="M36" s="6"/>
      <c r="N36" s="5">
        <v>25.6</v>
      </c>
      <c r="O36" s="6">
        <f t="shared" si="1"/>
        <v>649.54687499999989</v>
      </c>
    </row>
    <row r="37" spans="1:15" x14ac:dyDescent="0.25">
      <c r="A37" s="3">
        <v>325</v>
      </c>
      <c r="B37">
        <f>B16*1.2</f>
        <v>19728</v>
      </c>
      <c r="C37">
        <f t="shared" ref="C37:I37" si="5">C16*1.2</f>
        <v>21703.200000000001</v>
      </c>
      <c r="D37">
        <f t="shared" si="5"/>
        <v>24410.399999999998</v>
      </c>
      <c r="E37">
        <f t="shared" si="5"/>
        <v>25022.399999999998</v>
      </c>
      <c r="F37">
        <f t="shared" si="5"/>
        <v>25646.399999999998</v>
      </c>
      <c r="G37">
        <f t="shared" si="5"/>
        <v>24410.399999999998</v>
      </c>
      <c r="H37">
        <f t="shared" si="5"/>
        <v>25022.399999999998</v>
      </c>
      <c r="I37">
        <f t="shared" si="5"/>
        <v>25646.399999999998</v>
      </c>
      <c r="K37" s="5">
        <v>45.7</v>
      </c>
      <c r="L37" s="6">
        <f t="shared" si="0"/>
        <v>547.53610503282266</v>
      </c>
      <c r="M37" s="6"/>
      <c r="N37" s="5">
        <v>28</v>
      </c>
      <c r="O37" s="6">
        <f t="shared" si="1"/>
        <v>704.57142857142856</v>
      </c>
    </row>
    <row r="38" spans="1:15" x14ac:dyDescent="0.25">
      <c r="A38" s="3">
        <v>377</v>
      </c>
      <c r="B38">
        <f t="shared" si="3"/>
        <v>23790</v>
      </c>
      <c r="C38">
        <f t="shared" si="3"/>
        <v>26169.599999999999</v>
      </c>
      <c r="D38">
        <f t="shared" si="3"/>
        <v>28215.599999999999</v>
      </c>
      <c r="E38">
        <f t="shared" si="3"/>
        <v>28795.200000000001</v>
      </c>
      <c r="F38">
        <f t="shared" si="3"/>
        <v>29386.799999999999</v>
      </c>
      <c r="G38">
        <f t="shared" si="3"/>
        <v>28215.599999999999</v>
      </c>
      <c r="H38">
        <f t="shared" si="3"/>
        <v>28795.200000000001</v>
      </c>
      <c r="I38">
        <f t="shared" si="3"/>
        <v>29386.799999999999</v>
      </c>
      <c r="K38" s="5">
        <v>66</v>
      </c>
      <c r="L38" s="6">
        <f t="shared" si="0"/>
        <v>436.29090909090911</v>
      </c>
      <c r="M38" s="6"/>
      <c r="N38" s="5">
        <v>51</v>
      </c>
      <c r="O38" s="6">
        <f t="shared" si="1"/>
        <v>466.47058823529414</v>
      </c>
    </row>
    <row r="39" spans="1:15" x14ac:dyDescent="0.25">
      <c r="A39" s="3">
        <v>426</v>
      </c>
      <c r="B39">
        <f t="shared" si="3"/>
        <v>27224.399999999998</v>
      </c>
      <c r="C39">
        <f t="shared" si="3"/>
        <v>29949.599999999999</v>
      </c>
      <c r="D39">
        <f t="shared" si="3"/>
        <v>33688.799999999996</v>
      </c>
      <c r="E39">
        <f t="shared" si="3"/>
        <v>34530</v>
      </c>
      <c r="F39">
        <f t="shared" si="3"/>
        <v>35391.599999999999</v>
      </c>
      <c r="G39">
        <f t="shared" si="3"/>
        <v>33688.799999999996</v>
      </c>
      <c r="H39">
        <f t="shared" si="3"/>
        <v>34530</v>
      </c>
      <c r="I39">
        <f t="shared" si="3"/>
        <v>35391.599999999999</v>
      </c>
      <c r="K39" s="5">
        <v>76.099999999999994</v>
      </c>
      <c r="L39" s="6">
        <f t="shared" si="0"/>
        <v>453.74507227332458</v>
      </c>
      <c r="M39" s="6"/>
      <c r="N39" s="5">
        <v>59</v>
      </c>
      <c r="O39" s="6">
        <f t="shared" si="1"/>
        <v>461.43050847457624</v>
      </c>
    </row>
    <row r="40" spans="1:15" x14ac:dyDescent="0.25">
      <c r="A40" s="3">
        <v>530</v>
      </c>
      <c r="B40">
        <f t="shared" si="3"/>
        <v>35874</v>
      </c>
      <c r="C40">
        <f t="shared" si="3"/>
        <v>39460.799999999996</v>
      </c>
      <c r="D40">
        <f t="shared" si="3"/>
        <v>44389.2</v>
      </c>
      <c r="E40">
        <f t="shared" si="3"/>
        <v>45500.4</v>
      </c>
      <c r="F40">
        <f t="shared" si="3"/>
        <v>46636.799999999996</v>
      </c>
      <c r="G40">
        <f t="shared" si="3"/>
        <v>44389.2</v>
      </c>
      <c r="H40">
        <f t="shared" si="3"/>
        <v>45500.4</v>
      </c>
      <c r="I40">
        <f t="shared" si="3"/>
        <v>46636.799999999996</v>
      </c>
      <c r="K40" s="5">
        <v>89</v>
      </c>
      <c r="L40" s="6">
        <f t="shared" si="0"/>
        <v>511.24044943820229</v>
      </c>
      <c r="M40" s="6"/>
      <c r="N40" s="5">
        <v>71</v>
      </c>
      <c r="O40" s="6">
        <f t="shared" si="1"/>
        <v>505.26760563380282</v>
      </c>
    </row>
    <row r="41" spans="1:15" x14ac:dyDescent="0.25">
      <c r="A41" s="3">
        <v>720</v>
      </c>
      <c r="B41">
        <f t="shared" si="3"/>
        <v>42349.2</v>
      </c>
      <c r="C41">
        <f t="shared" si="3"/>
        <v>46584</v>
      </c>
      <c r="D41">
        <f t="shared" si="3"/>
        <v>52405.2</v>
      </c>
      <c r="E41">
        <f t="shared" si="3"/>
        <v>53710.799999999996</v>
      </c>
      <c r="F41">
        <f t="shared" si="3"/>
        <v>55052.4</v>
      </c>
      <c r="G41">
        <f t="shared" si="3"/>
        <v>52405.2</v>
      </c>
      <c r="H41">
        <f t="shared" si="3"/>
        <v>53710.799999999996</v>
      </c>
      <c r="I41">
        <f t="shared" si="3"/>
        <v>55052.4</v>
      </c>
      <c r="K41" s="5">
        <v>129.4</v>
      </c>
      <c r="L41" s="6">
        <f t="shared" si="0"/>
        <v>415.07573415765063</v>
      </c>
      <c r="M41" s="6"/>
      <c r="N41" s="5">
        <v>106</v>
      </c>
      <c r="O41" s="6">
        <f t="shared" si="1"/>
        <v>399.52075471698112</v>
      </c>
    </row>
    <row r="42" spans="1:15" x14ac:dyDescent="0.25">
      <c r="A42" s="3">
        <v>1020</v>
      </c>
      <c r="B42">
        <f t="shared" si="3"/>
        <v>56761.2</v>
      </c>
      <c r="C42">
        <f t="shared" si="3"/>
        <v>62434.799999999996</v>
      </c>
      <c r="D42">
        <f t="shared" si="3"/>
        <v>70234.8</v>
      </c>
      <c r="E42">
        <f t="shared" si="3"/>
        <v>71986.8</v>
      </c>
      <c r="F42">
        <f t="shared" si="3"/>
        <v>73788</v>
      </c>
      <c r="G42">
        <f t="shared" si="3"/>
        <v>70234.8</v>
      </c>
      <c r="H42">
        <f t="shared" si="3"/>
        <v>71986.8</v>
      </c>
      <c r="I42">
        <f t="shared" si="3"/>
        <v>73788</v>
      </c>
      <c r="K42" s="5">
        <v>248</v>
      </c>
      <c r="L42" s="6">
        <f t="shared" si="0"/>
        <v>290.26935483870972</v>
      </c>
      <c r="M42" s="6"/>
      <c r="N42" s="5">
        <v>204</v>
      </c>
      <c r="O42" s="6">
        <f t="shared" si="1"/>
        <v>278.24117647058824</v>
      </c>
    </row>
    <row r="43" spans="1:15" x14ac:dyDescent="0.25">
      <c r="A43" s="3">
        <v>1220</v>
      </c>
      <c r="B43">
        <f t="shared" si="3"/>
        <v>66010.8</v>
      </c>
      <c r="C43">
        <f t="shared" si="3"/>
        <v>72614.399999999994</v>
      </c>
      <c r="D43">
        <f t="shared" si="3"/>
        <v>80833.2</v>
      </c>
      <c r="E43">
        <f t="shared" si="3"/>
        <v>82764</v>
      </c>
      <c r="F43">
        <f t="shared" si="3"/>
        <v>84740.4</v>
      </c>
      <c r="G43">
        <f t="shared" si="3"/>
        <v>80833.2</v>
      </c>
      <c r="H43">
        <f t="shared" si="3"/>
        <v>82764</v>
      </c>
      <c r="I43">
        <f t="shared" si="3"/>
        <v>84740.4</v>
      </c>
      <c r="K43" s="5">
        <v>263</v>
      </c>
      <c r="L43" s="6">
        <f t="shared" si="0"/>
        <v>314.69201520912549</v>
      </c>
      <c r="M43" s="6"/>
      <c r="N43" s="5">
        <v>225</v>
      </c>
      <c r="O43" s="6">
        <f t="shared" si="1"/>
        <v>293.38133333333337</v>
      </c>
    </row>
    <row r="44" spans="1:15" x14ac:dyDescent="0.25">
      <c r="A44" s="3">
        <v>1420</v>
      </c>
      <c r="B44">
        <f t="shared" si="3"/>
        <v>101672.4</v>
      </c>
      <c r="C44">
        <f t="shared" si="3"/>
        <v>111836.4</v>
      </c>
      <c r="D44">
        <f t="shared" si="3"/>
        <v>111264</v>
      </c>
      <c r="E44">
        <f t="shared" si="3"/>
        <v>112526.39999999999</v>
      </c>
      <c r="F44">
        <f t="shared" si="3"/>
        <v>113803.2</v>
      </c>
      <c r="G44">
        <f t="shared" si="3"/>
        <v>111264</v>
      </c>
      <c r="H44">
        <f t="shared" si="3"/>
        <v>112526.39999999999</v>
      </c>
      <c r="I44">
        <f t="shared" si="3"/>
        <v>113803.2</v>
      </c>
      <c r="K44" s="5">
        <v>280</v>
      </c>
      <c r="L44" s="6">
        <f t="shared" si="0"/>
        <v>401.88</v>
      </c>
      <c r="M44" s="6"/>
      <c r="N44" s="5">
        <v>258</v>
      </c>
      <c r="O44" s="6">
        <f t="shared" si="1"/>
        <v>394.07906976744187</v>
      </c>
    </row>
    <row r="45" spans="1:15" x14ac:dyDescent="0.25">
      <c r="B45">
        <f t="shared" si="3"/>
        <v>0</v>
      </c>
    </row>
    <row r="46" spans="1:15" x14ac:dyDescent="0.25">
      <c r="A46" t="s">
        <v>16</v>
      </c>
    </row>
    <row r="47" spans="1:15" x14ac:dyDescent="0.25">
      <c r="A47" t="s">
        <v>13</v>
      </c>
    </row>
    <row r="48" spans="1:15" x14ac:dyDescent="0.25">
      <c r="A48" t="s">
        <v>12</v>
      </c>
    </row>
    <row r="49" spans="1:1" x14ac:dyDescent="0.25">
      <c r="A49" t="s">
        <v>11</v>
      </c>
    </row>
    <row r="50" spans="1:1" x14ac:dyDescent="0.25">
      <c r="A50" t="s">
        <v>14</v>
      </c>
    </row>
    <row r="51" spans="1:1" x14ac:dyDescent="0.25">
      <c r="A51" t="s">
        <v>15</v>
      </c>
    </row>
    <row r="52" spans="1:1" x14ac:dyDescent="0.25">
      <c r="A52" t="s">
        <v>17</v>
      </c>
    </row>
  </sheetData>
  <mergeCells count="1">
    <mergeCell ref="A24:I24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tabSelected="1" topLeftCell="A7" workbookViewId="0">
      <selection activeCell="G29" sqref="G29"/>
    </sheetView>
  </sheetViews>
  <sheetFormatPr defaultRowHeight="15" x14ac:dyDescent="0.25"/>
  <cols>
    <col min="2" max="2" width="11.85546875" customWidth="1"/>
    <col min="3" max="3" width="6.5703125" bestFit="1" customWidth="1"/>
    <col min="4" max="4" width="13.7109375" customWidth="1"/>
    <col min="5" max="5" width="6.5703125" bestFit="1" customWidth="1"/>
    <col min="6" max="7" width="10" bestFit="1" customWidth="1"/>
    <col min="8" max="8" width="6.5703125" bestFit="1" customWidth="1"/>
    <col min="9" max="9" width="8" bestFit="1" customWidth="1"/>
    <col min="10" max="10" width="10" bestFit="1" customWidth="1"/>
    <col min="11" max="11" width="6.5703125" bestFit="1" customWidth="1"/>
    <col min="12" max="12" width="8" bestFit="1" customWidth="1"/>
    <col min="13" max="13" width="10" bestFit="1" customWidth="1"/>
    <col min="14" max="14" width="12.85546875" customWidth="1"/>
    <col min="15" max="15" width="6.5703125" bestFit="1" customWidth="1"/>
    <col min="16" max="16" width="10" bestFit="1" customWidth="1"/>
    <col min="17" max="17" width="4" bestFit="1" customWidth="1"/>
    <col min="18" max="18" width="10" bestFit="1" customWidth="1"/>
    <col min="19" max="19" width="6.5703125" bestFit="1" customWidth="1"/>
    <col min="20" max="20" width="10" bestFit="1" customWidth="1"/>
    <col min="21" max="21" width="6.5703125" bestFit="1" customWidth="1"/>
  </cols>
  <sheetData>
    <row r="1" spans="1:21" x14ac:dyDescent="0.25">
      <c r="A1" s="1" t="s">
        <v>10</v>
      </c>
    </row>
    <row r="2" spans="1:21" x14ac:dyDescent="0.25">
      <c r="A2" s="1"/>
      <c r="B2" t="s">
        <v>1</v>
      </c>
    </row>
    <row r="3" spans="1:21" ht="21.95" customHeight="1" x14ac:dyDescent="0.25">
      <c r="A3" s="4" t="s">
        <v>0</v>
      </c>
      <c r="B3" s="14" t="s">
        <v>2</v>
      </c>
      <c r="C3" s="15"/>
      <c r="D3" s="14" t="s">
        <v>3</v>
      </c>
      <c r="E3" s="15"/>
      <c r="F3" s="9"/>
      <c r="G3" s="14" t="s">
        <v>4</v>
      </c>
      <c r="H3" s="15"/>
      <c r="I3" s="9"/>
      <c r="J3" s="14" t="s">
        <v>5</v>
      </c>
      <c r="K3" s="15"/>
      <c r="L3" s="9"/>
      <c r="M3" s="9"/>
      <c r="N3" s="14" t="s">
        <v>6</v>
      </c>
      <c r="O3" s="15"/>
      <c r="P3" s="14" t="s">
        <v>7</v>
      </c>
      <c r="Q3" s="15"/>
      <c r="R3" s="14" t="s">
        <v>8</v>
      </c>
      <c r="S3" s="15"/>
      <c r="T3" s="16" t="s">
        <v>9</v>
      </c>
      <c r="U3" s="16"/>
    </row>
    <row r="4" spans="1:21" x14ac:dyDescent="0.25">
      <c r="A4" s="4"/>
      <c r="B4" s="4" t="s">
        <v>19</v>
      </c>
      <c r="C4" s="4" t="s">
        <v>18</v>
      </c>
      <c r="D4" s="4" t="s">
        <v>19</v>
      </c>
      <c r="E4" s="4" t="s">
        <v>18</v>
      </c>
      <c r="F4" s="7" t="s">
        <v>24</v>
      </c>
      <c r="G4" s="4" t="s">
        <v>19</v>
      </c>
      <c r="H4" s="4" t="s">
        <v>18</v>
      </c>
      <c r="I4" s="8"/>
      <c r="J4" s="4" t="s">
        <v>19</v>
      </c>
      <c r="K4" s="4" t="s">
        <v>18</v>
      </c>
      <c r="L4" s="8" t="s">
        <v>25</v>
      </c>
      <c r="M4" s="7" t="s">
        <v>24</v>
      </c>
      <c r="N4" s="4" t="s">
        <v>19</v>
      </c>
      <c r="O4" s="4" t="s">
        <v>18</v>
      </c>
      <c r="P4" s="4" t="s">
        <v>19</v>
      </c>
      <c r="Q4" s="4" t="s">
        <v>18</v>
      </c>
      <c r="R4" s="4" t="s">
        <v>19</v>
      </c>
      <c r="S4" s="4" t="s">
        <v>18</v>
      </c>
      <c r="T4" s="4" t="s">
        <v>19</v>
      </c>
      <c r="U4" s="4" t="s">
        <v>18</v>
      </c>
    </row>
    <row r="5" spans="1:21" ht="21.95" customHeight="1" x14ac:dyDescent="0.25">
      <c r="A5" s="4">
        <v>32</v>
      </c>
      <c r="B5" s="5">
        <v>2223.6</v>
      </c>
      <c r="C5" s="5">
        <v>1.1000000000000001</v>
      </c>
      <c r="D5" s="5">
        <v>2445.6</v>
      </c>
      <c r="E5" s="5">
        <v>1.1000000000000001</v>
      </c>
      <c r="F5" s="10"/>
      <c r="G5" s="5">
        <v>2823.6</v>
      </c>
      <c r="H5" s="5">
        <v>0.8</v>
      </c>
      <c r="I5" s="5">
        <f>G5/H5</f>
        <v>3529.4999999999995</v>
      </c>
      <c r="J5" s="5">
        <v>2892</v>
      </c>
      <c r="K5" s="5">
        <v>1.2</v>
      </c>
      <c r="L5" s="5">
        <f>J5/K5</f>
        <v>2410</v>
      </c>
      <c r="M5" s="10"/>
      <c r="N5" s="5">
        <v>2964</v>
      </c>
      <c r="O5" s="5">
        <v>1.5</v>
      </c>
      <c r="P5" s="5">
        <v>2823.6</v>
      </c>
      <c r="Q5" s="5"/>
      <c r="R5" s="5">
        <v>2892</v>
      </c>
      <c r="S5" s="5">
        <v>1.2</v>
      </c>
      <c r="T5" s="5">
        <v>2964</v>
      </c>
      <c r="U5" s="5">
        <v>1.5</v>
      </c>
    </row>
    <row r="6" spans="1:21" ht="21.95" customHeight="1" x14ac:dyDescent="0.25">
      <c r="A6" s="4">
        <v>57</v>
      </c>
      <c r="B6" s="5">
        <v>3324</v>
      </c>
      <c r="C6" s="5">
        <v>1.6</v>
      </c>
      <c r="D6" s="5">
        <v>3656.4</v>
      </c>
      <c r="E6" s="12">
        <v>1.6</v>
      </c>
      <c r="F6" s="11">
        <v>1.732</v>
      </c>
      <c r="G6" s="5">
        <v>4111.2</v>
      </c>
      <c r="H6" s="5"/>
      <c r="I6" s="5"/>
      <c r="J6" s="5">
        <v>4216.8</v>
      </c>
      <c r="K6" s="5">
        <v>2</v>
      </c>
      <c r="L6" s="5">
        <f t="shared" ref="L6:L24" si="0">J6/K6</f>
        <v>2108.4</v>
      </c>
      <c r="M6" s="10"/>
      <c r="N6" s="5">
        <v>4320</v>
      </c>
      <c r="O6" s="5">
        <v>2.2999999999999998</v>
      </c>
      <c r="P6" s="5">
        <v>4111.2</v>
      </c>
      <c r="Q6" s="5"/>
      <c r="R6" s="5">
        <v>4216.8</v>
      </c>
      <c r="S6" s="5">
        <v>2</v>
      </c>
      <c r="T6" s="5">
        <v>4320</v>
      </c>
      <c r="U6" s="5">
        <v>2.2999999999999998</v>
      </c>
    </row>
    <row r="7" spans="1:21" ht="21.95" customHeight="1" x14ac:dyDescent="0.25">
      <c r="A7" s="4">
        <v>76</v>
      </c>
      <c r="B7" s="5">
        <v>3741.6</v>
      </c>
      <c r="C7" s="5"/>
      <c r="D7" s="5">
        <v>4020</v>
      </c>
      <c r="E7" s="5"/>
      <c r="F7" s="10"/>
      <c r="G7" s="5">
        <v>4770</v>
      </c>
      <c r="H7" s="5"/>
      <c r="I7" s="5"/>
      <c r="J7" s="5">
        <v>4904.3999999999996</v>
      </c>
      <c r="K7" s="5">
        <v>2.2999999999999998</v>
      </c>
      <c r="L7" s="5">
        <f t="shared" si="0"/>
        <v>2132.3478260869565</v>
      </c>
      <c r="M7" s="10"/>
      <c r="N7" s="5">
        <v>5041.2</v>
      </c>
      <c r="O7" s="5">
        <v>2.6</v>
      </c>
      <c r="P7" s="5">
        <v>4770</v>
      </c>
      <c r="Q7" s="5"/>
      <c r="R7" s="5">
        <v>4904.3999999999996</v>
      </c>
      <c r="S7" s="5">
        <v>2.2999999999999998</v>
      </c>
      <c r="T7" s="5">
        <v>5041.2</v>
      </c>
      <c r="U7" s="5">
        <v>2.6</v>
      </c>
    </row>
    <row r="8" spans="1:21" ht="21.95" customHeight="1" x14ac:dyDescent="0.25">
      <c r="A8" s="4">
        <v>89</v>
      </c>
      <c r="B8" s="5">
        <v>4376.3999999999996</v>
      </c>
      <c r="C8" s="5">
        <v>2</v>
      </c>
      <c r="D8" s="5">
        <v>4814.3999999999996</v>
      </c>
      <c r="E8" s="5">
        <v>2</v>
      </c>
      <c r="F8" s="10"/>
      <c r="G8" s="5">
        <v>5419.2</v>
      </c>
      <c r="H8" s="5"/>
      <c r="I8" s="5"/>
      <c r="J8" s="5">
        <v>5556</v>
      </c>
      <c r="K8" s="5">
        <v>2.5</v>
      </c>
      <c r="L8" s="5">
        <f t="shared" si="0"/>
        <v>2222.4</v>
      </c>
      <c r="M8" s="10"/>
      <c r="N8" s="5">
        <v>5694</v>
      </c>
      <c r="O8" s="5">
        <v>2.8</v>
      </c>
      <c r="P8" s="5">
        <v>5419.2</v>
      </c>
      <c r="Q8" s="5"/>
      <c r="R8" s="5">
        <v>5556</v>
      </c>
      <c r="S8" s="5">
        <v>2.5</v>
      </c>
      <c r="T8" s="5">
        <v>5694</v>
      </c>
      <c r="U8" s="5">
        <v>2.8</v>
      </c>
    </row>
    <row r="9" spans="1:21" ht="21.95" customHeight="1" x14ac:dyDescent="0.25">
      <c r="A9" s="4">
        <v>108</v>
      </c>
      <c r="B9" s="5">
        <v>5503.2</v>
      </c>
      <c r="C9" s="5">
        <v>3.4</v>
      </c>
      <c r="D9" s="5">
        <v>6057.5999999999995</v>
      </c>
      <c r="E9" s="5">
        <v>3.4</v>
      </c>
      <c r="F9" s="10"/>
      <c r="G9" s="5">
        <v>6808.8</v>
      </c>
      <c r="H9" s="5"/>
      <c r="I9" s="5"/>
      <c r="J9" s="5">
        <v>6981.5999999999995</v>
      </c>
      <c r="K9" s="5">
        <v>5.8</v>
      </c>
      <c r="L9" s="5">
        <f t="shared" si="0"/>
        <v>1203.7241379310344</v>
      </c>
      <c r="M9" s="10"/>
      <c r="N9" s="5">
        <v>7158</v>
      </c>
      <c r="O9" s="5">
        <v>6.3</v>
      </c>
      <c r="P9" s="5">
        <v>6808.8</v>
      </c>
      <c r="Q9" s="5"/>
      <c r="R9" s="5">
        <v>6981.5999999999995</v>
      </c>
      <c r="S9" s="5">
        <v>5.8</v>
      </c>
      <c r="T9" s="5">
        <v>7158</v>
      </c>
      <c r="U9" s="5">
        <v>6.3</v>
      </c>
    </row>
    <row r="10" spans="1:21" ht="21.95" customHeight="1" x14ac:dyDescent="0.25">
      <c r="A10" s="4">
        <v>114</v>
      </c>
      <c r="B10" s="5">
        <v>5666.4</v>
      </c>
      <c r="C10" s="5">
        <v>3.5</v>
      </c>
      <c r="D10" s="5">
        <v>6237.5999999999995</v>
      </c>
      <c r="E10" s="5">
        <v>3.5</v>
      </c>
      <c r="F10" s="10"/>
      <c r="G10" s="5">
        <v>8427.6</v>
      </c>
      <c r="H10" s="5"/>
      <c r="I10" s="5"/>
      <c r="J10" s="5">
        <v>8786.4</v>
      </c>
      <c r="K10" s="5">
        <v>5.6</v>
      </c>
      <c r="L10" s="5">
        <f t="shared" si="0"/>
        <v>1569</v>
      </c>
      <c r="M10" s="10"/>
      <c r="N10" s="5">
        <v>9151.1999999999989</v>
      </c>
      <c r="O10" s="5">
        <v>6</v>
      </c>
      <c r="P10" s="5">
        <v>8427.6</v>
      </c>
      <c r="Q10" s="5"/>
      <c r="R10" s="5">
        <v>8786.4</v>
      </c>
      <c r="S10" s="5">
        <v>5.6</v>
      </c>
      <c r="T10" s="5">
        <v>9151.1999999999989</v>
      </c>
      <c r="U10" s="5">
        <v>6</v>
      </c>
    </row>
    <row r="11" spans="1:21" ht="21.95" customHeight="1" x14ac:dyDescent="0.25">
      <c r="A11" s="4">
        <v>127</v>
      </c>
      <c r="B11" s="5">
        <v>9084</v>
      </c>
      <c r="C11" s="5">
        <v>5.7</v>
      </c>
      <c r="D11" s="5">
        <v>9993.6</v>
      </c>
      <c r="E11" s="5">
        <v>5.7</v>
      </c>
      <c r="F11" s="10"/>
      <c r="G11" s="5">
        <v>10932</v>
      </c>
      <c r="H11" s="5"/>
      <c r="I11" s="5"/>
      <c r="J11" s="5">
        <v>11170.8</v>
      </c>
      <c r="K11" s="5">
        <v>7.8</v>
      </c>
      <c r="L11" s="5">
        <f t="shared" si="0"/>
        <v>1432.1538461538462</v>
      </c>
      <c r="M11" s="10"/>
      <c r="N11" s="5">
        <v>11412</v>
      </c>
      <c r="O11" s="5">
        <v>8.1999999999999993</v>
      </c>
      <c r="P11" s="5">
        <v>10932</v>
      </c>
      <c r="Q11" s="5"/>
      <c r="R11" s="5">
        <v>11170.8</v>
      </c>
      <c r="S11" s="5">
        <v>7.8</v>
      </c>
      <c r="T11" s="5">
        <v>11412</v>
      </c>
      <c r="U11" s="5">
        <v>8.1999999999999993</v>
      </c>
    </row>
    <row r="12" spans="1:21" ht="21.95" customHeight="1" x14ac:dyDescent="0.25">
      <c r="A12" s="4">
        <v>133</v>
      </c>
      <c r="B12" s="5">
        <v>9240</v>
      </c>
      <c r="C12" s="5">
        <v>5.8</v>
      </c>
      <c r="D12" s="5">
        <v>10170</v>
      </c>
      <c r="E12" s="5">
        <v>5.8</v>
      </c>
      <c r="F12" s="10"/>
      <c r="G12" s="5">
        <v>11524.8</v>
      </c>
      <c r="H12" s="5"/>
      <c r="I12" s="5"/>
      <c r="J12" s="5">
        <v>11818.8</v>
      </c>
      <c r="K12" s="5">
        <v>8.1</v>
      </c>
      <c r="L12" s="5">
        <f t="shared" si="0"/>
        <v>1459.1111111111111</v>
      </c>
      <c r="M12" s="10"/>
      <c r="N12" s="5">
        <v>12121.199999999999</v>
      </c>
      <c r="O12" s="5">
        <v>8.5</v>
      </c>
      <c r="P12" s="5">
        <v>11524.8</v>
      </c>
      <c r="Q12" s="5"/>
      <c r="R12" s="5">
        <v>11818.8</v>
      </c>
      <c r="S12" s="5">
        <v>8.1</v>
      </c>
      <c r="T12" s="5">
        <v>12121.199999999999</v>
      </c>
      <c r="U12" s="5">
        <v>8.5</v>
      </c>
    </row>
    <row r="13" spans="1:21" ht="21.95" customHeight="1" x14ac:dyDescent="0.25">
      <c r="A13" s="4">
        <v>159</v>
      </c>
      <c r="B13" s="5">
        <v>9685.1999999999989</v>
      </c>
      <c r="C13" s="5">
        <v>6.5</v>
      </c>
      <c r="D13" s="5">
        <v>10653.6</v>
      </c>
      <c r="E13" s="5">
        <v>6.5</v>
      </c>
      <c r="F13" s="10"/>
      <c r="G13" s="5">
        <v>11982</v>
      </c>
      <c r="H13" s="5"/>
      <c r="I13" s="5"/>
      <c r="J13" s="5">
        <v>12286.8</v>
      </c>
      <c r="K13" s="12">
        <v>9.1</v>
      </c>
      <c r="L13" s="5">
        <f t="shared" si="0"/>
        <v>1350.1978021978023</v>
      </c>
      <c r="M13" s="11">
        <v>8.2750000000000004</v>
      </c>
      <c r="N13" s="5">
        <v>12591.6</v>
      </c>
      <c r="O13" s="5">
        <v>9.6</v>
      </c>
      <c r="P13" s="5">
        <v>11982</v>
      </c>
      <c r="Q13" s="5"/>
      <c r="R13" s="5">
        <v>12286.8</v>
      </c>
      <c r="S13" s="5">
        <v>9.1</v>
      </c>
      <c r="T13" s="5">
        <v>12591.6</v>
      </c>
      <c r="U13" s="5">
        <v>9.6</v>
      </c>
    </row>
    <row r="14" spans="1:21" ht="21.95" customHeight="1" x14ac:dyDescent="0.25">
      <c r="A14" s="4">
        <v>168</v>
      </c>
      <c r="B14" s="5">
        <v>10578</v>
      </c>
      <c r="C14" s="5">
        <v>7.1</v>
      </c>
      <c r="D14" s="5">
        <v>11637.6</v>
      </c>
      <c r="E14" s="5">
        <v>7.1</v>
      </c>
      <c r="F14" s="10"/>
      <c r="G14" s="5">
        <v>12822</v>
      </c>
      <c r="H14" s="5"/>
      <c r="I14" s="5"/>
      <c r="J14" s="5">
        <v>13113.6</v>
      </c>
      <c r="K14" s="5">
        <v>9.6</v>
      </c>
      <c r="L14" s="5">
        <f t="shared" si="0"/>
        <v>1366</v>
      </c>
      <c r="M14" s="10"/>
      <c r="N14" s="5">
        <v>13414.8</v>
      </c>
      <c r="O14" s="5">
        <v>10</v>
      </c>
      <c r="P14" s="5">
        <v>12822</v>
      </c>
      <c r="Q14" s="5"/>
      <c r="R14" s="5">
        <v>13113.6</v>
      </c>
      <c r="S14" s="5">
        <v>9.6</v>
      </c>
      <c r="T14" s="5">
        <v>13414.8</v>
      </c>
      <c r="U14" s="5">
        <v>10</v>
      </c>
    </row>
    <row r="15" spans="1:21" ht="21.95" customHeight="1" x14ac:dyDescent="0.25">
      <c r="A15" s="4">
        <v>219</v>
      </c>
      <c r="B15" s="5">
        <v>14947.199999999999</v>
      </c>
      <c r="C15" s="5">
        <v>15.7</v>
      </c>
      <c r="D15" s="5">
        <v>16443.599999999999</v>
      </c>
      <c r="E15" s="5">
        <v>15.7</v>
      </c>
      <c r="F15" s="10"/>
      <c r="G15" s="5">
        <v>18501.599999999999</v>
      </c>
      <c r="H15" s="5"/>
      <c r="I15" s="5"/>
      <c r="J15" s="5">
        <v>18960</v>
      </c>
      <c r="K15" s="5">
        <v>24</v>
      </c>
      <c r="L15" s="5">
        <f t="shared" si="0"/>
        <v>790</v>
      </c>
      <c r="M15" s="10"/>
      <c r="N15" s="5">
        <v>19432.8</v>
      </c>
      <c r="O15" s="5">
        <v>25</v>
      </c>
      <c r="P15" s="5">
        <v>18501.599999999999</v>
      </c>
      <c r="Q15" s="5"/>
      <c r="R15" s="5">
        <v>18960</v>
      </c>
      <c r="S15" s="5">
        <v>24</v>
      </c>
      <c r="T15" s="5">
        <v>19432.8</v>
      </c>
      <c r="U15" s="5">
        <v>25</v>
      </c>
    </row>
    <row r="16" spans="1:21" ht="21.95" customHeight="1" x14ac:dyDescent="0.25">
      <c r="A16" s="4">
        <v>273</v>
      </c>
      <c r="B16" s="5">
        <v>16628.399999999998</v>
      </c>
      <c r="C16" s="5">
        <v>25.6</v>
      </c>
      <c r="D16" s="5">
        <v>18291.599999999999</v>
      </c>
      <c r="E16" s="5">
        <v>25.6</v>
      </c>
      <c r="F16" s="10"/>
      <c r="G16" s="5">
        <v>21194.399999999998</v>
      </c>
      <c r="H16" s="5"/>
      <c r="I16" s="5"/>
      <c r="J16" s="5">
        <v>21788.399999999998</v>
      </c>
      <c r="K16" s="5">
        <v>30.1</v>
      </c>
      <c r="L16" s="5">
        <f t="shared" si="0"/>
        <v>723.86710963455141</v>
      </c>
      <c r="M16" s="10"/>
      <c r="N16" s="5">
        <v>22396.799999999999</v>
      </c>
      <c r="O16" s="5">
        <v>33</v>
      </c>
      <c r="P16" s="5">
        <v>21194.399999999998</v>
      </c>
      <c r="Q16" s="5"/>
      <c r="R16" s="5">
        <v>21788.399999999998</v>
      </c>
      <c r="S16" s="5">
        <v>30.1</v>
      </c>
      <c r="T16" s="5">
        <v>22396.799999999999</v>
      </c>
      <c r="U16" s="5">
        <v>33</v>
      </c>
    </row>
    <row r="17" spans="1:21" ht="21.95" customHeight="1" x14ac:dyDescent="0.25">
      <c r="A17" s="4">
        <v>325</v>
      </c>
      <c r="B17" s="5">
        <v>19728</v>
      </c>
      <c r="C17" s="5">
        <v>28</v>
      </c>
      <c r="D17" s="5">
        <v>21703.200000000001</v>
      </c>
      <c r="E17" s="5">
        <v>28</v>
      </c>
      <c r="F17" s="10"/>
      <c r="G17" s="5">
        <v>24410.399999999998</v>
      </c>
      <c r="H17" s="5"/>
      <c r="I17" s="5"/>
      <c r="J17" s="5">
        <v>25022.399999999998</v>
      </c>
      <c r="K17" s="5">
        <v>45.7</v>
      </c>
      <c r="L17" s="5">
        <f t="shared" si="0"/>
        <v>547.53610503282266</v>
      </c>
      <c r="M17" s="10"/>
      <c r="N17" s="5">
        <v>25646.399999999998</v>
      </c>
      <c r="O17" s="5">
        <v>48</v>
      </c>
      <c r="P17" s="5">
        <v>24410.399999999998</v>
      </c>
      <c r="Q17" s="5"/>
      <c r="R17" s="5">
        <v>25022.399999999998</v>
      </c>
      <c r="S17" s="5">
        <v>45.7</v>
      </c>
      <c r="T17" s="5">
        <v>25646.399999999998</v>
      </c>
      <c r="U17" s="5">
        <v>48</v>
      </c>
    </row>
    <row r="18" spans="1:21" ht="21.95" customHeight="1" x14ac:dyDescent="0.25">
      <c r="A18" s="4">
        <v>377</v>
      </c>
      <c r="B18" s="5">
        <v>23790</v>
      </c>
      <c r="C18" s="5">
        <v>51</v>
      </c>
      <c r="D18" s="5">
        <v>26169.599999999999</v>
      </c>
      <c r="E18" s="5">
        <v>51</v>
      </c>
      <c r="F18" s="10"/>
      <c r="G18" s="5">
        <v>28215.599999999999</v>
      </c>
      <c r="H18" s="5"/>
      <c r="I18" s="5"/>
      <c r="J18" s="5">
        <v>28795.200000000001</v>
      </c>
      <c r="K18" s="5">
        <v>66</v>
      </c>
      <c r="L18" s="5">
        <f t="shared" si="0"/>
        <v>436.29090909090911</v>
      </c>
      <c r="M18" s="10"/>
      <c r="N18" s="5">
        <v>29386.799999999999</v>
      </c>
      <c r="O18" s="5">
        <v>70</v>
      </c>
      <c r="P18" s="5">
        <v>28215.599999999999</v>
      </c>
      <c r="Q18" s="5"/>
      <c r="R18" s="5">
        <v>28795.200000000001</v>
      </c>
      <c r="S18" s="5">
        <v>66</v>
      </c>
      <c r="T18" s="5">
        <v>29386.799999999999</v>
      </c>
      <c r="U18" s="5">
        <v>70</v>
      </c>
    </row>
    <row r="19" spans="1:21" ht="21.95" customHeight="1" x14ac:dyDescent="0.25">
      <c r="A19" s="4">
        <v>426</v>
      </c>
      <c r="B19" s="5">
        <v>27224.399999999998</v>
      </c>
      <c r="C19" s="5">
        <v>59</v>
      </c>
      <c r="D19" s="5">
        <v>29949.599999999999</v>
      </c>
      <c r="E19" s="5">
        <v>59</v>
      </c>
      <c r="F19" s="10"/>
      <c r="G19" s="5">
        <v>33688.799999999996</v>
      </c>
      <c r="H19" s="5"/>
      <c r="I19" s="5"/>
      <c r="J19" s="5">
        <v>34530</v>
      </c>
      <c r="K19" s="5">
        <v>76.099999999999994</v>
      </c>
      <c r="L19" s="5">
        <f t="shared" si="0"/>
        <v>453.74507227332458</v>
      </c>
      <c r="M19" s="10"/>
      <c r="N19" s="5">
        <v>35391.599999999999</v>
      </c>
      <c r="O19" s="5">
        <v>78</v>
      </c>
      <c r="P19" s="5">
        <v>33688.799999999996</v>
      </c>
      <c r="Q19" s="5"/>
      <c r="R19" s="5">
        <v>34530</v>
      </c>
      <c r="S19" s="5">
        <v>76.099999999999994</v>
      </c>
      <c r="T19" s="5">
        <v>35391.599999999999</v>
      </c>
      <c r="U19" s="5">
        <v>78</v>
      </c>
    </row>
    <row r="20" spans="1:21" ht="21.95" customHeight="1" x14ac:dyDescent="0.25">
      <c r="A20" s="4">
        <v>530</v>
      </c>
      <c r="B20" s="5">
        <v>35874</v>
      </c>
      <c r="C20" s="5">
        <v>71</v>
      </c>
      <c r="D20" s="5">
        <v>39460.799999999996</v>
      </c>
      <c r="E20" s="5">
        <v>71</v>
      </c>
      <c r="F20" s="10"/>
      <c r="G20" s="5">
        <v>44389.2</v>
      </c>
      <c r="H20" s="5"/>
      <c r="I20" s="5"/>
      <c r="J20" s="5">
        <v>45500.4</v>
      </c>
      <c r="K20" s="5">
        <v>89</v>
      </c>
      <c r="L20" s="5">
        <f t="shared" si="0"/>
        <v>511.24044943820229</v>
      </c>
      <c r="M20" s="10"/>
      <c r="N20" s="5">
        <v>46636.799999999996</v>
      </c>
      <c r="O20" s="5">
        <v>92</v>
      </c>
      <c r="P20" s="5">
        <v>44389.2</v>
      </c>
      <c r="Q20" s="5"/>
      <c r="R20" s="5">
        <v>45500.4</v>
      </c>
      <c r="S20" s="5">
        <v>89</v>
      </c>
      <c r="T20" s="5">
        <v>46636.799999999996</v>
      </c>
      <c r="U20" s="5">
        <v>92</v>
      </c>
    </row>
    <row r="21" spans="1:21" ht="21.95" customHeight="1" x14ac:dyDescent="0.25">
      <c r="A21" s="4">
        <v>720</v>
      </c>
      <c r="B21" s="5">
        <v>42349.2</v>
      </c>
      <c r="C21" s="5">
        <v>106</v>
      </c>
      <c r="D21" s="5">
        <v>46584</v>
      </c>
      <c r="E21" s="5">
        <v>106</v>
      </c>
      <c r="F21" s="10"/>
      <c r="G21" s="5">
        <v>52405.2</v>
      </c>
      <c r="H21" s="5"/>
      <c r="I21" s="5"/>
      <c r="J21" s="5">
        <v>53710.799999999996</v>
      </c>
      <c r="K21" s="5">
        <v>129.4</v>
      </c>
      <c r="L21" s="5">
        <f t="shared" si="0"/>
        <v>415.07573415765063</v>
      </c>
      <c r="M21" s="10"/>
      <c r="N21" s="5">
        <v>55052.4</v>
      </c>
      <c r="O21" s="5">
        <v>134.5</v>
      </c>
      <c r="P21" s="5">
        <v>52405.2</v>
      </c>
      <c r="Q21" s="5"/>
      <c r="R21" s="5">
        <v>53710.799999999996</v>
      </c>
      <c r="S21" s="5">
        <v>129.4</v>
      </c>
      <c r="T21" s="5">
        <v>55052.4</v>
      </c>
      <c r="U21" s="5">
        <v>134.5</v>
      </c>
    </row>
    <row r="22" spans="1:21" ht="21.95" customHeight="1" x14ac:dyDescent="0.25">
      <c r="A22" s="4">
        <v>1020</v>
      </c>
      <c r="B22" s="5">
        <v>56761.2</v>
      </c>
      <c r="C22" s="5">
        <v>204</v>
      </c>
      <c r="D22" s="5">
        <v>62434.799999999996</v>
      </c>
      <c r="E22" s="5">
        <v>204</v>
      </c>
      <c r="F22" s="10"/>
      <c r="G22" s="5">
        <v>70234.8</v>
      </c>
      <c r="H22" s="5"/>
      <c r="I22" s="5"/>
      <c r="J22" s="5">
        <v>71986.8</v>
      </c>
      <c r="K22" s="5">
        <v>248</v>
      </c>
      <c r="L22" s="5">
        <f t="shared" si="0"/>
        <v>290.26935483870972</v>
      </c>
      <c r="M22" s="10"/>
      <c r="N22" s="5">
        <v>73788</v>
      </c>
      <c r="O22" s="5">
        <v>262</v>
      </c>
      <c r="P22" s="5">
        <v>70234.8</v>
      </c>
      <c r="Q22" s="5"/>
      <c r="R22" s="5">
        <v>71986.8</v>
      </c>
      <c r="S22" s="5">
        <v>248</v>
      </c>
      <c r="T22" s="5">
        <v>73788</v>
      </c>
      <c r="U22" s="5">
        <v>262</v>
      </c>
    </row>
    <row r="23" spans="1:21" ht="21.95" customHeight="1" x14ac:dyDescent="0.25">
      <c r="A23" s="4">
        <v>1220</v>
      </c>
      <c r="B23" s="5">
        <v>66010.8</v>
      </c>
      <c r="C23" s="5">
        <v>225</v>
      </c>
      <c r="D23" s="5">
        <v>72614.399999999994</v>
      </c>
      <c r="E23" s="5">
        <v>225</v>
      </c>
      <c r="F23" s="10"/>
      <c r="G23" s="5">
        <v>80833.2</v>
      </c>
      <c r="H23" s="5"/>
      <c r="I23" s="5"/>
      <c r="J23" s="5">
        <v>82764</v>
      </c>
      <c r="K23" s="5">
        <v>263</v>
      </c>
      <c r="L23" s="5">
        <f t="shared" si="0"/>
        <v>314.69201520912549</v>
      </c>
      <c r="M23" s="10"/>
      <c r="N23" s="5">
        <v>84740.4</v>
      </c>
      <c r="O23" s="5">
        <v>272</v>
      </c>
      <c r="P23" s="5">
        <v>80833.2</v>
      </c>
      <c r="Q23" s="5"/>
      <c r="R23" s="5">
        <v>82764</v>
      </c>
      <c r="S23" s="5">
        <v>263</v>
      </c>
      <c r="T23" s="5">
        <v>84740.4</v>
      </c>
      <c r="U23" s="5">
        <v>272</v>
      </c>
    </row>
    <row r="24" spans="1:21" ht="21.95" customHeight="1" x14ac:dyDescent="0.25">
      <c r="A24" s="4">
        <v>1420</v>
      </c>
      <c r="B24" s="5">
        <v>101672.4</v>
      </c>
      <c r="C24" s="5">
        <v>258</v>
      </c>
      <c r="D24" s="5">
        <v>111836.4</v>
      </c>
      <c r="E24" s="5">
        <v>258</v>
      </c>
      <c r="F24" s="10"/>
      <c r="G24" s="5">
        <v>111264</v>
      </c>
      <c r="H24" s="5"/>
      <c r="I24" s="5"/>
      <c r="J24" s="5">
        <v>112526.39999999999</v>
      </c>
      <c r="K24" s="5">
        <v>280</v>
      </c>
      <c r="L24" s="5">
        <f t="shared" si="0"/>
        <v>401.88</v>
      </c>
      <c r="M24" s="10"/>
      <c r="N24" s="5">
        <v>113803.2</v>
      </c>
      <c r="O24" s="5">
        <v>285</v>
      </c>
      <c r="P24" s="5">
        <v>111264</v>
      </c>
      <c r="Q24" s="5"/>
      <c r="R24" s="5">
        <v>112526.39999999999</v>
      </c>
      <c r="S24" s="5">
        <v>280</v>
      </c>
      <c r="T24" s="5">
        <v>113803.2</v>
      </c>
      <c r="U24" s="5">
        <v>285</v>
      </c>
    </row>
    <row r="26" spans="1:21" x14ac:dyDescent="0.25">
      <c r="A26" t="s">
        <v>16</v>
      </c>
    </row>
    <row r="27" spans="1:21" x14ac:dyDescent="0.25">
      <c r="A27" t="s">
        <v>13</v>
      </c>
    </row>
    <row r="28" spans="1:21" x14ac:dyDescent="0.25">
      <c r="A28" t="s">
        <v>12</v>
      </c>
    </row>
    <row r="29" spans="1:21" x14ac:dyDescent="0.25">
      <c r="A29" t="s">
        <v>11</v>
      </c>
    </row>
    <row r="30" spans="1:21" x14ac:dyDescent="0.25">
      <c r="A30" t="s">
        <v>14</v>
      </c>
    </row>
    <row r="31" spans="1:21" x14ac:dyDescent="0.25">
      <c r="A31" t="s">
        <v>15</v>
      </c>
    </row>
    <row r="32" spans="1:21" x14ac:dyDescent="0.25">
      <c r="A32" t="s">
        <v>17</v>
      </c>
    </row>
  </sheetData>
  <mergeCells count="8">
    <mergeCell ref="R3:S3"/>
    <mergeCell ref="T3:U3"/>
    <mergeCell ref="B3:C3"/>
    <mergeCell ref="D3:E3"/>
    <mergeCell ref="G3:H3"/>
    <mergeCell ref="J3:K3"/>
    <mergeCell ref="N3:O3"/>
    <mergeCell ref="P3:Q3"/>
  </mergeCells>
  <pageMargins left="0.7" right="0.7" top="0.75" bottom="0.75" header="0.3" footer="0.3"/>
  <pageSetup paperSize="9" scale="79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2008г</vt:lpstr>
      <vt:lpstr>2014г</vt:lpstr>
    </vt:vector>
  </TitlesOfParts>
  <Company>ООО "ПСК"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 Лыков</cp:lastModifiedBy>
  <cp:lastPrinted>2015-01-27T10:40:57Z</cp:lastPrinted>
  <dcterms:created xsi:type="dcterms:W3CDTF">2014-06-03T08:30:32Z</dcterms:created>
  <dcterms:modified xsi:type="dcterms:W3CDTF">2019-09-30T11:16:38Z</dcterms:modified>
</cp:coreProperties>
</file>